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sangroup-my.sharepoint.com/personal/akshitiz-extern_nissan-europe_com/Documents/ドキュメント/"/>
    </mc:Choice>
  </mc:AlternateContent>
  <xr:revisionPtr revIDLastSave="0" documentId="8_{512318E9-F2A0-4EFB-831B-D5121E0D409F}" xr6:coauthVersionLast="47" xr6:coauthVersionMax="47" xr10:uidLastSave="{00000000-0000-0000-0000-000000000000}"/>
  <bookViews>
    <workbookView xWindow="-120" yWindow="-120" windowWidth="20730" windowHeight="11160" xr2:uid="{B5F1A62B-C471-4E66-A532-174ADE002B38}"/>
  </bookViews>
  <sheets>
    <sheet name="Sheet1" sheetId="1" r:id="rId1"/>
  </sheets>
  <externalReferences>
    <externalReference r:id="rId2"/>
  </externalReferenc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3" i="1" l="1"/>
  <c r="BH83" i="1"/>
  <c r="BF83" i="1"/>
  <c r="AW83" i="1"/>
  <c r="AK83" i="1"/>
  <c r="AB83" i="1"/>
  <c r="S83" i="1"/>
  <c r="J83" i="1"/>
  <c r="CB82" i="1"/>
  <c r="BZ82" i="1"/>
  <c r="BX82" i="1"/>
  <c r="BO82" i="1"/>
  <c r="BI82" i="1"/>
  <c r="BI84" i="1" s="1"/>
  <c r="BH82" i="1"/>
  <c r="BH84" i="1" s="1"/>
  <c r="BF82" i="1"/>
  <c r="BF84" i="1" s="1"/>
  <c r="AW82" i="1"/>
  <c r="AW84" i="1" s="1"/>
  <c r="AT82" i="1"/>
  <c r="AK82" i="1"/>
  <c r="AK84" i="1" s="1"/>
  <c r="AB82" i="1"/>
  <c r="AB84" i="1" s="1"/>
  <c r="S82" i="1"/>
  <c r="J82" i="1"/>
  <c r="BI81" i="1"/>
  <c r="BH81" i="1"/>
  <c r="BF81" i="1"/>
  <c r="AW81" i="1"/>
  <c r="AK81" i="1"/>
  <c r="AB81" i="1"/>
  <c r="S81" i="1"/>
  <c r="J81" i="1"/>
  <c r="CN79" i="1"/>
  <c r="CC79" i="1"/>
  <c r="AU79" i="1"/>
  <c r="AV79" i="1" s="1"/>
  <c r="AS79" i="1"/>
  <c r="AR79" i="1"/>
  <c r="AQ79" i="1"/>
  <c r="AP79" i="1"/>
  <c r="AO79" i="1"/>
  <c r="AE79" i="1"/>
  <c r="Z79" i="1"/>
  <c r="Y79" i="1"/>
  <c r="X79" i="1"/>
  <c r="W79" i="1"/>
  <c r="AA79" i="1" s="1"/>
  <c r="CH78" i="1"/>
  <c r="CA78" i="1"/>
  <c r="BU78" i="1"/>
  <c r="BT78" i="1"/>
  <c r="BS78" i="1"/>
  <c r="BA78" i="1"/>
  <c r="AU78" i="1"/>
  <c r="AQ78" i="1"/>
  <c r="AN78" i="1"/>
  <c r="AR78" i="1" s="1"/>
  <c r="AM78" i="1"/>
  <c r="AL78" i="1"/>
  <c r="AE78" i="1"/>
  <c r="V78" i="1"/>
  <c r="U78" i="1"/>
  <c r="T78" i="1"/>
  <c r="X78" i="1" s="1"/>
  <c r="M78" i="1"/>
  <c r="L78" i="1"/>
  <c r="K78" i="1"/>
  <c r="H78" i="1"/>
  <c r="G78" i="1"/>
  <c r="F78" i="1"/>
  <c r="CH77" i="1"/>
  <c r="CA77" i="1"/>
  <c r="BU77" i="1"/>
  <c r="BT77" i="1"/>
  <c r="BS77" i="1"/>
  <c r="BA77" i="1"/>
  <c r="AU77" i="1"/>
  <c r="AV77" i="1" s="1"/>
  <c r="AN77" i="1"/>
  <c r="AM77" i="1"/>
  <c r="AL77" i="1"/>
  <c r="AO77" i="1" s="1"/>
  <c r="AE77" i="1"/>
  <c r="X77" i="1"/>
  <c r="V77" i="1"/>
  <c r="Z77" i="1" s="1"/>
  <c r="U77" i="1"/>
  <c r="T77" i="1"/>
  <c r="M77" i="1"/>
  <c r="L77" i="1"/>
  <c r="K77" i="1"/>
  <c r="H77" i="1"/>
  <c r="BY77" i="1" s="1"/>
  <c r="G77" i="1"/>
  <c r="F77" i="1"/>
  <c r="CM76" i="1"/>
  <c r="CJ76" i="1"/>
  <c r="CI76" i="1"/>
  <c r="CG76" i="1"/>
  <c r="CH76" i="1" s="1"/>
  <c r="CF76" i="1"/>
  <c r="CE76" i="1"/>
  <c r="CA76" i="1"/>
  <c r="BU76" i="1"/>
  <c r="BT76" i="1"/>
  <c r="BS76" i="1"/>
  <c r="BD76" i="1"/>
  <c r="AZ76" i="1"/>
  <c r="AY76" i="1"/>
  <c r="BC76" i="1" s="1"/>
  <c r="AX76" i="1"/>
  <c r="AU76" i="1"/>
  <c r="AN76" i="1"/>
  <c r="AM76" i="1"/>
  <c r="AL76" i="1"/>
  <c r="AE76" i="1"/>
  <c r="V76" i="1"/>
  <c r="Z76" i="1" s="1"/>
  <c r="U76" i="1"/>
  <c r="T76" i="1"/>
  <c r="W76" i="1" s="1"/>
  <c r="M76" i="1"/>
  <c r="L76" i="1"/>
  <c r="P76" i="1" s="1"/>
  <c r="K76" i="1"/>
  <c r="H76" i="1"/>
  <c r="G76" i="1"/>
  <c r="F76" i="1"/>
  <c r="AP76" i="1" s="1"/>
  <c r="CM75" i="1"/>
  <c r="CG75" i="1"/>
  <c r="CF75" i="1"/>
  <c r="CE75" i="1"/>
  <c r="CA75" i="1"/>
  <c r="BU75" i="1"/>
  <c r="BT75" i="1"/>
  <c r="BS75" i="1"/>
  <c r="BG75" i="1"/>
  <c r="BJ75" i="1" s="1"/>
  <c r="AZ75" i="1"/>
  <c r="AY75" i="1"/>
  <c r="BC75" i="1" s="1"/>
  <c r="AX75" i="1"/>
  <c r="AU75" i="1"/>
  <c r="AN75" i="1"/>
  <c r="AM75" i="1"/>
  <c r="AL75" i="1"/>
  <c r="AE75" i="1"/>
  <c r="AD75" i="1"/>
  <c r="AC75" i="1"/>
  <c r="V75" i="1"/>
  <c r="U75" i="1"/>
  <c r="T75" i="1"/>
  <c r="W75" i="1" s="1"/>
  <c r="M75" i="1"/>
  <c r="L75" i="1"/>
  <c r="K75" i="1"/>
  <c r="N75" i="1" s="1"/>
  <c r="H75" i="1"/>
  <c r="G75" i="1"/>
  <c r="BL75" i="1" s="1"/>
  <c r="F75" i="1"/>
  <c r="BK75" i="1" s="1"/>
  <c r="CM74" i="1"/>
  <c r="CG74" i="1"/>
  <c r="CF74" i="1"/>
  <c r="CE74" i="1"/>
  <c r="CH74" i="1" s="1"/>
  <c r="CA74" i="1"/>
  <c r="BR74" i="1"/>
  <c r="BV74" i="1" s="1"/>
  <c r="BQ74" i="1"/>
  <c r="BU74" i="1" s="1"/>
  <c r="BP74" i="1"/>
  <c r="BK74" i="1"/>
  <c r="AZ74" i="1"/>
  <c r="AY74" i="1"/>
  <c r="AX74" i="1"/>
  <c r="AU74" i="1"/>
  <c r="AN74" i="1"/>
  <c r="AM74" i="1"/>
  <c r="AL74" i="1"/>
  <c r="AG74" i="1"/>
  <c r="AF74" i="1"/>
  <c r="AE74" i="1"/>
  <c r="AD74" i="1"/>
  <c r="AC74" i="1"/>
  <c r="V74" i="1"/>
  <c r="U74" i="1"/>
  <c r="T74" i="1"/>
  <c r="W74" i="1" s="1"/>
  <c r="M74" i="1"/>
  <c r="L74" i="1"/>
  <c r="K74" i="1"/>
  <c r="H74" i="1"/>
  <c r="AV74" i="1" s="1"/>
  <c r="G74" i="1"/>
  <c r="CJ74" i="1" s="1"/>
  <c r="F74" i="1"/>
  <c r="CM73" i="1"/>
  <c r="CG73" i="1"/>
  <c r="CF73" i="1"/>
  <c r="CE73" i="1"/>
  <c r="CH73" i="1" s="1"/>
  <c r="CA73" i="1"/>
  <c r="BR73" i="1"/>
  <c r="BV73" i="1" s="1"/>
  <c r="BM73" i="1"/>
  <c r="AZ73" i="1"/>
  <c r="AY73" i="1"/>
  <c r="AX73" i="1"/>
  <c r="BA73" i="1" s="1"/>
  <c r="AU73" i="1"/>
  <c r="AN73" i="1"/>
  <c r="AM73" i="1"/>
  <c r="AL73" i="1"/>
  <c r="AE73" i="1"/>
  <c r="AI73" i="1" s="1"/>
  <c r="AD73" i="1"/>
  <c r="AC73" i="1"/>
  <c r="V73" i="1"/>
  <c r="U73" i="1"/>
  <c r="T73" i="1"/>
  <c r="M73" i="1"/>
  <c r="L73" i="1"/>
  <c r="K73" i="1"/>
  <c r="H73" i="1"/>
  <c r="G73" i="1"/>
  <c r="F73" i="1"/>
  <c r="CM72" i="1"/>
  <c r="CI72" i="1"/>
  <c r="CG72" i="1"/>
  <c r="CF72" i="1"/>
  <c r="CE72" i="1"/>
  <c r="CA72" i="1"/>
  <c r="BR72" i="1"/>
  <c r="BV72" i="1" s="1"/>
  <c r="AZ72" i="1"/>
  <c r="AY72" i="1"/>
  <c r="AX72" i="1"/>
  <c r="AV72" i="1"/>
  <c r="AU72" i="1"/>
  <c r="AN72" i="1"/>
  <c r="AO72" i="1" s="1"/>
  <c r="AM72" i="1"/>
  <c r="AL72" i="1"/>
  <c r="AE72" i="1"/>
  <c r="BM72" i="1" s="1"/>
  <c r="AD72" i="1"/>
  <c r="AC72" i="1"/>
  <c r="X72" i="1"/>
  <c r="V72" i="1"/>
  <c r="Z72" i="1" s="1"/>
  <c r="U72" i="1"/>
  <c r="W72" i="1" s="1"/>
  <c r="T72" i="1"/>
  <c r="M72" i="1"/>
  <c r="Q72" i="1" s="1"/>
  <c r="L72" i="1"/>
  <c r="K72" i="1"/>
  <c r="H72" i="1"/>
  <c r="G72" i="1"/>
  <c r="BQ72" i="1" s="1"/>
  <c r="F72" i="1"/>
  <c r="CM71" i="1"/>
  <c r="CG71" i="1"/>
  <c r="CF71" i="1"/>
  <c r="CJ71" i="1" s="1"/>
  <c r="CE71" i="1"/>
  <c r="CA71" i="1"/>
  <c r="BR71" i="1"/>
  <c r="BV71" i="1" s="1"/>
  <c r="BQ71" i="1"/>
  <c r="BU71" i="1" s="1"/>
  <c r="AZ71" i="1"/>
  <c r="BD71" i="1" s="1"/>
  <c r="AY71" i="1"/>
  <c r="AX71" i="1"/>
  <c r="AU71" i="1"/>
  <c r="AN71" i="1"/>
  <c r="AM71" i="1"/>
  <c r="AQ71" i="1" s="1"/>
  <c r="AL71" i="1"/>
  <c r="AI71" i="1"/>
  <c r="AF71" i="1"/>
  <c r="AE71" i="1"/>
  <c r="AD71" i="1"/>
  <c r="AC71" i="1"/>
  <c r="V71" i="1"/>
  <c r="U71" i="1"/>
  <c r="Y71" i="1" s="1"/>
  <c r="T71" i="1"/>
  <c r="X71" i="1" s="1"/>
  <c r="M71" i="1"/>
  <c r="L71" i="1"/>
  <c r="P71" i="1" s="1"/>
  <c r="K71" i="1"/>
  <c r="H71" i="1"/>
  <c r="G71" i="1"/>
  <c r="BL71" i="1" s="1"/>
  <c r="F71" i="1"/>
  <c r="BP71" i="1" s="1"/>
  <c r="BS71" i="1" s="1"/>
  <c r="CM70" i="1"/>
  <c r="CG70" i="1"/>
  <c r="CF70" i="1"/>
  <c r="CJ70" i="1" s="1"/>
  <c r="CE70" i="1"/>
  <c r="CH70" i="1" s="1"/>
  <c r="CA70" i="1"/>
  <c r="BR70" i="1"/>
  <c r="BQ70" i="1"/>
  <c r="AZ70" i="1"/>
  <c r="AY70" i="1"/>
  <c r="AX70" i="1"/>
  <c r="AU70" i="1"/>
  <c r="AN70" i="1"/>
  <c r="AM70" i="1"/>
  <c r="AQ70" i="1" s="1"/>
  <c r="AL70" i="1"/>
  <c r="AG70" i="1"/>
  <c r="AE70" i="1"/>
  <c r="AD70" i="1"/>
  <c r="AC70" i="1"/>
  <c r="V70" i="1"/>
  <c r="U70" i="1"/>
  <c r="T70" i="1"/>
  <c r="W70" i="1" s="1"/>
  <c r="M70" i="1"/>
  <c r="L70" i="1"/>
  <c r="P70" i="1" s="1"/>
  <c r="K70" i="1"/>
  <c r="O70" i="1" s="1"/>
  <c r="H70" i="1"/>
  <c r="CK70" i="1" s="1"/>
  <c r="G70" i="1"/>
  <c r="BC70" i="1" s="1"/>
  <c r="F70" i="1"/>
  <c r="BB70" i="1" s="1"/>
  <c r="CM69" i="1"/>
  <c r="CI69" i="1"/>
  <c r="CG69" i="1"/>
  <c r="CF69" i="1"/>
  <c r="CJ69" i="1" s="1"/>
  <c r="CE69" i="1"/>
  <c r="CA69" i="1"/>
  <c r="BR69" i="1"/>
  <c r="BP69" i="1"/>
  <c r="BL69" i="1"/>
  <c r="BG69" i="1"/>
  <c r="BJ69" i="1" s="1"/>
  <c r="BB69" i="1"/>
  <c r="AZ69" i="1"/>
  <c r="AY69" i="1"/>
  <c r="BA69" i="1" s="1"/>
  <c r="AX69" i="1"/>
  <c r="AU69" i="1"/>
  <c r="AN69" i="1"/>
  <c r="AM69" i="1"/>
  <c r="AL69" i="1"/>
  <c r="AH69" i="1"/>
  <c r="AE69" i="1"/>
  <c r="AD69" i="1"/>
  <c r="AC69" i="1"/>
  <c r="V69" i="1"/>
  <c r="U69" i="1"/>
  <c r="T69" i="1"/>
  <c r="M69" i="1"/>
  <c r="Q69" i="1" s="1"/>
  <c r="L69" i="1"/>
  <c r="P69" i="1" s="1"/>
  <c r="K69" i="1"/>
  <c r="H69" i="1"/>
  <c r="BD69" i="1" s="1"/>
  <c r="G69" i="1"/>
  <c r="F69" i="1"/>
  <c r="X69" i="1" s="1"/>
  <c r="CM68" i="1"/>
  <c r="CG68" i="1"/>
  <c r="CF68" i="1"/>
  <c r="CH68" i="1" s="1"/>
  <c r="CE68" i="1"/>
  <c r="CI68" i="1" s="1"/>
  <c r="CA68" i="1"/>
  <c r="BT68" i="1"/>
  <c r="BR68" i="1"/>
  <c r="BG68" i="1"/>
  <c r="BJ68" i="1" s="1"/>
  <c r="AZ68" i="1"/>
  <c r="AY68" i="1"/>
  <c r="AX68" i="1"/>
  <c r="BB68" i="1" s="1"/>
  <c r="AU68" i="1"/>
  <c r="AN68" i="1"/>
  <c r="AM68" i="1"/>
  <c r="AL68" i="1"/>
  <c r="AI68" i="1"/>
  <c r="AF68" i="1"/>
  <c r="AE68" i="1"/>
  <c r="BM68" i="1" s="1"/>
  <c r="AD68" i="1"/>
  <c r="AC68" i="1"/>
  <c r="X68" i="1"/>
  <c r="V68" i="1"/>
  <c r="U68" i="1"/>
  <c r="T68" i="1"/>
  <c r="O68" i="1"/>
  <c r="M68" i="1"/>
  <c r="L68" i="1"/>
  <c r="N68" i="1" s="1"/>
  <c r="K68" i="1"/>
  <c r="H68" i="1"/>
  <c r="G68" i="1"/>
  <c r="Y68" i="1" s="1"/>
  <c r="F68" i="1"/>
  <c r="BP68" i="1" s="1"/>
  <c r="CM67" i="1"/>
  <c r="CG67" i="1"/>
  <c r="CF67" i="1"/>
  <c r="CE67" i="1"/>
  <c r="CH67" i="1" s="1"/>
  <c r="CA67" i="1"/>
  <c r="BR67" i="1"/>
  <c r="AZ67" i="1"/>
  <c r="AY67" i="1"/>
  <c r="AX67" i="1"/>
  <c r="AU67" i="1"/>
  <c r="AQ67" i="1"/>
  <c r="AN67" i="1"/>
  <c r="AR67" i="1" s="1"/>
  <c r="AM67" i="1"/>
  <c r="AL67" i="1"/>
  <c r="AE67" i="1"/>
  <c r="AD67" i="1"/>
  <c r="AC67" i="1"/>
  <c r="V67" i="1"/>
  <c r="Z67" i="1" s="1"/>
  <c r="U67" i="1"/>
  <c r="Y67" i="1" s="1"/>
  <c r="T67" i="1"/>
  <c r="W67" i="1" s="1"/>
  <c r="P67" i="1"/>
  <c r="M67" i="1"/>
  <c r="N67" i="1" s="1"/>
  <c r="L67" i="1"/>
  <c r="K67" i="1"/>
  <c r="H67" i="1"/>
  <c r="AI67" i="1" s="1"/>
  <c r="G67" i="1"/>
  <c r="BL67" i="1" s="1"/>
  <c r="F67" i="1"/>
  <c r="CI67" i="1" s="1"/>
  <c r="CM66" i="1"/>
  <c r="CG66" i="1"/>
  <c r="CF66" i="1"/>
  <c r="CE66" i="1"/>
  <c r="CA66" i="1"/>
  <c r="BR66" i="1"/>
  <c r="AZ66" i="1"/>
  <c r="AY66" i="1"/>
  <c r="AX66" i="1"/>
  <c r="AU66" i="1"/>
  <c r="AV66" i="1" s="1"/>
  <c r="AR66" i="1"/>
  <c r="AN66" i="1"/>
  <c r="AM66" i="1"/>
  <c r="AQ66" i="1" s="1"/>
  <c r="AL66" i="1"/>
  <c r="AE66" i="1"/>
  <c r="BV66" i="1" s="1"/>
  <c r="AD66" i="1"/>
  <c r="AC66" i="1"/>
  <c r="V66" i="1"/>
  <c r="U66" i="1"/>
  <c r="T66" i="1"/>
  <c r="M66" i="1"/>
  <c r="Q66" i="1" s="1"/>
  <c r="L66" i="1"/>
  <c r="K66" i="1"/>
  <c r="H66" i="1"/>
  <c r="G66" i="1"/>
  <c r="AH66" i="1" s="1"/>
  <c r="F66" i="1"/>
  <c r="CM65" i="1"/>
  <c r="CG65" i="1"/>
  <c r="CF65" i="1"/>
  <c r="CE65" i="1"/>
  <c r="CA65" i="1"/>
  <c r="BR65" i="1"/>
  <c r="BJ65" i="1"/>
  <c r="BG65" i="1"/>
  <c r="AZ65" i="1"/>
  <c r="AY65" i="1"/>
  <c r="AX65" i="1"/>
  <c r="AU65" i="1"/>
  <c r="AN65" i="1"/>
  <c r="AM65" i="1"/>
  <c r="AL65" i="1"/>
  <c r="AP65" i="1" s="1"/>
  <c r="AG65" i="1"/>
  <c r="AE65" i="1"/>
  <c r="BV65" i="1" s="1"/>
  <c r="AD65" i="1"/>
  <c r="AC65" i="1"/>
  <c r="V65" i="1"/>
  <c r="U65" i="1"/>
  <c r="T65" i="1"/>
  <c r="W65" i="1" s="1"/>
  <c r="M65" i="1"/>
  <c r="L65" i="1"/>
  <c r="K65" i="1"/>
  <c r="O65" i="1" s="1"/>
  <c r="H65" i="1"/>
  <c r="G65" i="1"/>
  <c r="BQ65" i="1" s="1"/>
  <c r="F65" i="1"/>
  <c r="CM64" i="1"/>
  <c r="CG64" i="1"/>
  <c r="CF64" i="1"/>
  <c r="CE64" i="1"/>
  <c r="CH64" i="1" s="1"/>
  <c r="CA64" i="1"/>
  <c r="BR64" i="1"/>
  <c r="BV64" i="1" s="1"/>
  <c r="BP64" i="1"/>
  <c r="BL64" i="1"/>
  <c r="AZ64" i="1"/>
  <c r="AY64" i="1"/>
  <c r="AX64" i="1"/>
  <c r="AU64" i="1"/>
  <c r="AN64" i="1"/>
  <c r="AM64" i="1"/>
  <c r="AL64" i="1"/>
  <c r="BM64" i="1" s="1"/>
  <c r="AE64" i="1"/>
  <c r="AD64" i="1"/>
  <c r="AC64" i="1"/>
  <c r="AF64" i="1" s="1"/>
  <c r="W64" i="1"/>
  <c r="V64" i="1"/>
  <c r="U64" i="1"/>
  <c r="T64" i="1"/>
  <c r="M64" i="1"/>
  <c r="L64" i="1"/>
  <c r="K64" i="1"/>
  <c r="N64" i="1" s="1"/>
  <c r="H64" i="1"/>
  <c r="G64" i="1"/>
  <c r="F64" i="1"/>
  <c r="X64" i="1" s="1"/>
  <c r="CM63" i="1"/>
  <c r="CG63" i="1"/>
  <c r="CF63" i="1"/>
  <c r="CE63" i="1"/>
  <c r="CA63" i="1"/>
  <c r="BR63" i="1"/>
  <c r="AZ63" i="1"/>
  <c r="AY63" i="1"/>
  <c r="AX63" i="1"/>
  <c r="AU63" i="1"/>
  <c r="AN63" i="1"/>
  <c r="AM63" i="1"/>
  <c r="AL63" i="1"/>
  <c r="AE63" i="1"/>
  <c r="BV63" i="1" s="1"/>
  <c r="AD63" i="1"/>
  <c r="AC63" i="1"/>
  <c r="V63" i="1"/>
  <c r="U63" i="1"/>
  <c r="T63" i="1"/>
  <c r="M63" i="1"/>
  <c r="L63" i="1"/>
  <c r="K63" i="1"/>
  <c r="N63" i="1" s="1"/>
  <c r="H63" i="1"/>
  <c r="G63" i="1"/>
  <c r="F63" i="1"/>
  <c r="CC62" i="1"/>
  <c r="CA62" i="1"/>
  <c r="CA61" i="1"/>
  <c r="BR61" i="1"/>
  <c r="AU61" i="1"/>
  <c r="AE61" i="1"/>
  <c r="V61" i="1"/>
  <c r="U61" i="1"/>
  <c r="CM60" i="1"/>
  <c r="CG60" i="1"/>
  <c r="CF60" i="1"/>
  <c r="CE60" i="1"/>
  <c r="CA60" i="1"/>
  <c r="BR60" i="1"/>
  <c r="BQ60" i="1"/>
  <c r="AZ60" i="1"/>
  <c r="AY60" i="1"/>
  <c r="AX60" i="1"/>
  <c r="AX61" i="1" s="1"/>
  <c r="AU60" i="1"/>
  <c r="AN60" i="1"/>
  <c r="AM60" i="1"/>
  <c r="AL60" i="1"/>
  <c r="AO60" i="1" s="1"/>
  <c r="AE60" i="1"/>
  <c r="AI60" i="1" s="1"/>
  <c r="AD60" i="1"/>
  <c r="AC60" i="1"/>
  <c r="V60" i="1"/>
  <c r="U60" i="1"/>
  <c r="T60" i="1"/>
  <c r="M60" i="1"/>
  <c r="L60" i="1"/>
  <c r="K60" i="1"/>
  <c r="H60" i="1"/>
  <c r="Z60" i="1" s="1"/>
  <c r="G60" i="1"/>
  <c r="F60" i="1"/>
  <c r="CM59" i="1"/>
  <c r="CG59" i="1"/>
  <c r="CF59" i="1"/>
  <c r="CF61" i="1" s="1"/>
  <c r="CE59" i="1"/>
  <c r="CE61" i="1" s="1"/>
  <c r="CA59" i="1"/>
  <c r="BR59" i="1"/>
  <c r="BQ59" i="1"/>
  <c r="BP59" i="1"/>
  <c r="AZ59" i="1"/>
  <c r="AY59" i="1"/>
  <c r="AX59" i="1"/>
  <c r="AU59" i="1"/>
  <c r="AN59" i="1"/>
  <c r="AM59" i="1"/>
  <c r="AM61" i="1" s="1"/>
  <c r="AL59" i="1"/>
  <c r="AP59" i="1" s="1"/>
  <c r="AE59" i="1"/>
  <c r="AD59" i="1"/>
  <c r="AC59" i="1"/>
  <c r="V59" i="1"/>
  <c r="U59" i="1"/>
  <c r="T59" i="1"/>
  <c r="M59" i="1"/>
  <c r="L59" i="1"/>
  <c r="L61" i="1" s="1"/>
  <c r="K59" i="1"/>
  <c r="H59" i="1"/>
  <c r="BD59" i="1" s="1"/>
  <c r="G59" i="1"/>
  <c r="F59" i="1"/>
  <c r="CA58" i="1"/>
  <c r="CC58" i="1" s="1"/>
  <c r="BM58" i="1"/>
  <c r="BL58" i="1"/>
  <c r="BK58" i="1"/>
  <c r="BG58" i="1"/>
  <c r="CM57" i="1"/>
  <c r="CJ57" i="1"/>
  <c r="CG57" i="1"/>
  <c r="CF57" i="1"/>
  <c r="CH57" i="1" s="1"/>
  <c r="CE57" i="1"/>
  <c r="CA57" i="1"/>
  <c r="BR57" i="1"/>
  <c r="BA57" i="1"/>
  <c r="AZ57" i="1"/>
  <c r="AY57" i="1"/>
  <c r="AX57" i="1"/>
  <c r="AU57" i="1"/>
  <c r="AN57" i="1"/>
  <c r="AM57" i="1"/>
  <c r="AL57" i="1"/>
  <c r="AE57" i="1"/>
  <c r="AD57" i="1"/>
  <c r="AC57" i="1"/>
  <c r="Z57" i="1"/>
  <c r="Y57" i="1"/>
  <c r="W57" i="1"/>
  <c r="V57" i="1"/>
  <c r="U57" i="1"/>
  <c r="T57" i="1"/>
  <c r="M57" i="1"/>
  <c r="L57" i="1"/>
  <c r="N57" i="1" s="1"/>
  <c r="K57" i="1"/>
  <c r="H57" i="1"/>
  <c r="G57" i="1"/>
  <c r="BL57" i="1" s="1"/>
  <c r="F57" i="1"/>
  <c r="BB57" i="1" s="1"/>
  <c r="CN56" i="1"/>
  <c r="CC56" i="1"/>
  <c r="CA56" i="1"/>
  <c r="BL56" i="1"/>
  <c r="BK56" i="1"/>
  <c r="BG56" i="1"/>
  <c r="AE56" i="1"/>
  <c r="BM56" i="1" s="1"/>
  <c r="CM55" i="1"/>
  <c r="CG55" i="1"/>
  <c r="CF55" i="1"/>
  <c r="CE55" i="1"/>
  <c r="CA55" i="1"/>
  <c r="BY55" i="1"/>
  <c r="BS55" i="1"/>
  <c r="BB55" i="1"/>
  <c r="AZ55" i="1"/>
  <c r="AY55" i="1"/>
  <c r="AX55" i="1"/>
  <c r="AU55" i="1"/>
  <c r="AN55" i="1"/>
  <c r="AM55" i="1"/>
  <c r="AL55" i="1"/>
  <c r="AE55" i="1"/>
  <c r="BV55" i="1" s="1"/>
  <c r="AD55" i="1"/>
  <c r="BU55" i="1" s="1"/>
  <c r="AC55" i="1"/>
  <c r="V55" i="1"/>
  <c r="U55" i="1"/>
  <c r="T55" i="1"/>
  <c r="M55" i="1"/>
  <c r="L55" i="1"/>
  <c r="K55" i="1"/>
  <c r="H55" i="1"/>
  <c r="BD55" i="1" s="1"/>
  <c r="G55" i="1"/>
  <c r="BC55" i="1" s="1"/>
  <c r="F55" i="1"/>
  <c r="CA54" i="1"/>
  <c r="CC54" i="1" s="1"/>
  <c r="BM54" i="1"/>
  <c r="BL54" i="1"/>
  <c r="BK54" i="1"/>
  <c r="BG54" i="1"/>
  <c r="CN53" i="1"/>
  <c r="CL53" i="1"/>
  <c r="CA53" i="1"/>
  <c r="CC53" i="1" s="1"/>
  <c r="BY53" i="1"/>
  <c r="BN53" i="1"/>
  <c r="BM53" i="1"/>
  <c r="BL53" i="1"/>
  <c r="BK53" i="1"/>
  <c r="BG53" i="1"/>
  <c r="AU53" i="1"/>
  <c r="AV53" i="1" s="1"/>
  <c r="AS53" i="1"/>
  <c r="BE53" i="1" s="1"/>
  <c r="AJ53" i="1"/>
  <c r="AA53" i="1"/>
  <c r="F53" i="1"/>
  <c r="R53" i="1" s="1"/>
  <c r="CN52" i="1"/>
  <c r="CL52" i="1"/>
  <c r="CA52" i="1"/>
  <c r="CC52" i="1" s="1"/>
  <c r="BY52" i="1"/>
  <c r="BN52" i="1"/>
  <c r="BM52" i="1"/>
  <c r="BL52" i="1"/>
  <c r="BK52" i="1"/>
  <c r="BG52" i="1"/>
  <c r="AU52" i="1"/>
  <c r="AV52" i="1" s="1"/>
  <c r="AS52" i="1"/>
  <c r="BE52" i="1" s="1"/>
  <c r="AJ52" i="1"/>
  <c r="AA52" i="1"/>
  <c r="R52" i="1"/>
  <c r="CN51" i="1"/>
  <c r="CL51" i="1"/>
  <c r="CA51" i="1"/>
  <c r="CC51" i="1" s="1"/>
  <c r="BY51" i="1"/>
  <c r="BN51" i="1"/>
  <c r="BM51" i="1"/>
  <c r="BL51" i="1"/>
  <c r="BK51" i="1"/>
  <c r="BG51" i="1"/>
  <c r="BE51" i="1"/>
  <c r="AU51" i="1"/>
  <c r="AV51" i="1" s="1"/>
  <c r="AS51" i="1"/>
  <c r="AJ51" i="1"/>
  <c r="AA51" i="1"/>
  <c r="R51" i="1"/>
  <c r="CN50" i="1"/>
  <c r="CL50" i="1"/>
  <c r="CA50" i="1"/>
  <c r="CC50" i="1" s="1"/>
  <c r="BY50" i="1"/>
  <c r="BN50" i="1"/>
  <c r="BM50" i="1"/>
  <c r="BL50" i="1"/>
  <c r="BK50" i="1"/>
  <c r="BG50" i="1"/>
  <c r="AU50" i="1"/>
  <c r="AV50" i="1" s="1"/>
  <c r="AS50" i="1"/>
  <c r="BE50" i="1" s="1"/>
  <c r="AJ50" i="1"/>
  <c r="AA50" i="1"/>
  <c r="R50" i="1"/>
  <c r="CN49" i="1"/>
  <c r="CA49" i="1"/>
  <c r="CC49" i="1" s="1"/>
  <c r="BM49" i="1"/>
  <c r="BL49" i="1"/>
  <c r="BK49" i="1"/>
  <c r="BG49" i="1"/>
  <c r="AU49" i="1"/>
  <c r="AV49" i="1" s="1"/>
  <c r="CA48" i="1"/>
  <c r="BR48" i="1"/>
  <c r="AU48" i="1"/>
  <c r="CA47" i="1"/>
  <c r="BR47" i="1"/>
  <c r="AU47" i="1"/>
  <c r="CA46" i="1"/>
  <c r="BR46" i="1"/>
  <c r="AU46" i="1"/>
  <c r="CA45" i="1"/>
  <c r="BR45" i="1"/>
  <c r="AZ45" i="1"/>
  <c r="AU45" i="1"/>
  <c r="CM44" i="1"/>
  <c r="CI44" i="1"/>
  <c r="CG44" i="1"/>
  <c r="CK44" i="1" s="1"/>
  <c r="CF44" i="1"/>
  <c r="CH44" i="1" s="1"/>
  <c r="CE44" i="1"/>
  <c r="CA44" i="1"/>
  <c r="BR44" i="1"/>
  <c r="AZ44" i="1"/>
  <c r="AY44" i="1"/>
  <c r="AX44" i="1"/>
  <c r="BA44" i="1" s="1"/>
  <c r="AU44" i="1"/>
  <c r="AQ44" i="1"/>
  <c r="AP44" i="1"/>
  <c r="AN44" i="1"/>
  <c r="AM44" i="1"/>
  <c r="AL44" i="1"/>
  <c r="AE44" i="1"/>
  <c r="BM44" i="1" s="1"/>
  <c r="AD44" i="1"/>
  <c r="AC44" i="1"/>
  <c r="V44" i="1"/>
  <c r="Z44" i="1" s="1"/>
  <c r="U44" i="1"/>
  <c r="T44" i="1"/>
  <c r="O44" i="1"/>
  <c r="M44" i="1"/>
  <c r="L44" i="1"/>
  <c r="K44" i="1"/>
  <c r="H44" i="1"/>
  <c r="G44" i="1"/>
  <c r="Y44" i="1" s="1"/>
  <c r="F44" i="1"/>
  <c r="F45" i="1" s="1"/>
  <c r="CN43" i="1"/>
  <c r="CA43" i="1"/>
  <c r="CC43" i="1" s="1"/>
  <c r="BY43" i="1"/>
  <c r="AU43" i="1"/>
  <c r="AV43" i="1" s="1"/>
  <c r="AE43" i="1"/>
  <c r="AD43" i="1"/>
  <c r="AC43" i="1"/>
  <c r="CM42" i="1"/>
  <c r="CK42" i="1"/>
  <c r="CG42" i="1"/>
  <c r="CF42" i="1"/>
  <c r="CE42" i="1"/>
  <c r="CH42" i="1" s="1"/>
  <c r="CA42" i="1"/>
  <c r="BY42" i="1"/>
  <c r="BR42" i="1"/>
  <c r="BQ42" i="1"/>
  <c r="BU42" i="1" s="1"/>
  <c r="BP42" i="1"/>
  <c r="BG42" i="1"/>
  <c r="BJ42" i="1" s="1"/>
  <c r="BD42" i="1"/>
  <c r="BC42" i="1"/>
  <c r="BB42" i="1"/>
  <c r="BA42" i="1"/>
  <c r="BE42" i="1" s="1"/>
  <c r="AZ42" i="1"/>
  <c r="AY42" i="1"/>
  <c r="AX42" i="1"/>
  <c r="AU42" i="1"/>
  <c r="AP42" i="1"/>
  <c r="AN42" i="1"/>
  <c r="AM42" i="1"/>
  <c r="AL42" i="1"/>
  <c r="AF42" i="1"/>
  <c r="AE42" i="1"/>
  <c r="BV42" i="1" s="1"/>
  <c r="AD42" i="1"/>
  <c r="AC42" i="1"/>
  <c r="V42" i="1"/>
  <c r="V45" i="1" s="1"/>
  <c r="U42" i="1"/>
  <c r="U45" i="1" s="1"/>
  <c r="T42" i="1"/>
  <c r="M42" i="1"/>
  <c r="Q42" i="1" s="1"/>
  <c r="L42" i="1"/>
  <c r="P42" i="1" s="1"/>
  <c r="K42" i="1"/>
  <c r="I42" i="1"/>
  <c r="H42" i="1"/>
  <c r="G42" i="1"/>
  <c r="Y42" i="1" s="1"/>
  <c r="F42" i="1"/>
  <c r="CN41" i="1"/>
  <c r="CA41" i="1"/>
  <c r="CC41" i="1" s="1"/>
  <c r="BY41" i="1"/>
  <c r="AU41" i="1"/>
  <c r="AV41" i="1" s="1"/>
  <c r="CN40" i="1"/>
  <c r="CA40" i="1"/>
  <c r="CC40" i="1" s="1"/>
  <c r="BY40" i="1"/>
  <c r="AU40" i="1"/>
  <c r="AV40" i="1" s="1"/>
  <c r="CA39" i="1"/>
  <c r="BR39" i="1"/>
  <c r="AU39" i="1"/>
  <c r="CM38" i="1"/>
  <c r="CG38" i="1"/>
  <c r="CF38" i="1"/>
  <c r="CE38" i="1"/>
  <c r="CA38" i="1"/>
  <c r="BV38" i="1"/>
  <c r="BR38" i="1"/>
  <c r="AZ38" i="1"/>
  <c r="AY38" i="1"/>
  <c r="AX38" i="1"/>
  <c r="AU38" i="1"/>
  <c r="AN38" i="1"/>
  <c r="AM38" i="1"/>
  <c r="AL38" i="1"/>
  <c r="BM38" i="1" s="1"/>
  <c r="AE38" i="1"/>
  <c r="AD38" i="1"/>
  <c r="AC38" i="1"/>
  <c r="V38" i="1"/>
  <c r="U38" i="1"/>
  <c r="T38" i="1"/>
  <c r="W38" i="1" s="1"/>
  <c r="M38" i="1"/>
  <c r="L38" i="1"/>
  <c r="K38" i="1"/>
  <c r="H38" i="1"/>
  <c r="G38" i="1"/>
  <c r="BC38" i="1" s="1"/>
  <c r="F38" i="1"/>
  <c r="CM37" i="1"/>
  <c r="CG37" i="1"/>
  <c r="CF37" i="1"/>
  <c r="CE37" i="1"/>
  <c r="CA37" i="1"/>
  <c r="BR37" i="1"/>
  <c r="AZ37" i="1"/>
  <c r="AY37" i="1"/>
  <c r="AX37" i="1"/>
  <c r="AU37" i="1"/>
  <c r="AN37" i="1"/>
  <c r="AM37" i="1"/>
  <c r="AL37" i="1"/>
  <c r="AE37" i="1"/>
  <c r="AF37" i="1" s="1"/>
  <c r="AD37" i="1"/>
  <c r="AC37" i="1"/>
  <c r="V37" i="1"/>
  <c r="U37" i="1"/>
  <c r="T37" i="1"/>
  <c r="X37" i="1" s="1"/>
  <c r="M37" i="1"/>
  <c r="M39" i="1" s="1"/>
  <c r="L37" i="1"/>
  <c r="K37" i="1"/>
  <c r="N37" i="1" s="1"/>
  <c r="H37" i="1"/>
  <c r="BY37" i="1" s="1"/>
  <c r="G37" i="1"/>
  <c r="Y37" i="1" s="1"/>
  <c r="F37" i="1"/>
  <c r="CM36" i="1"/>
  <c r="CH36" i="1"/>
  <c r="CG36" i="1"/>
  <c r="CF36" i="1"/>
  <c r="CE36" i="1"/>
  <c r="CA36" i="1"/>
  <c r="BR36" i="1"/>
  <c r="BQ36" i="1"/>
  <c r="AZ36" i="1"/>
  <c r="AZ39" i="1" s="1"/>
  <c r="AY36" i="1"/>
  <c r="AX36" i="1"/>
  <c r="AU36" i="1"/>
  <c r="AN36" i="1"/>
  <c r="AM36" i="1"/>
  <c r="AM39" i="1" s="1"/>
  <c r="AL36" i="1"/>
  <c r="AE36" i="1"/>
  <c r="AD36" i="1"/>
  <c r="AC36" i="1"/>
  <c r="V36" i="1"/>
  <c r="V39" i="1" s="1"/>
  <c r="U36" i="1"/>
  <c r="T36" i="1"/>
  <c r="M36" i="1"/>
  <c r="L36" i="1"/>
  <c r="K36" i="1"/>
  <c r="H36" i="1"/>
  <c r="G36" i="1"/>
  <c r="CJ36" i="1" s="1"/>
  <c r="F36" i="1"/>
  <c r="CA35" i="1"/>
  <c r="BR35" i="1"/>
  <c r="AU35" i="1"/>
  <c r="CM34" i="1"/>
  <c r="CG34" i="1"/>
  <c r="CF34" i="1"/>
  <c r="CE34" i="1"/>
  <c r="CA34" i="1"/>
  <c r="BR34" i="1"/>
  <c r="BV34" i="1" s="1"/>
  <c r="BQ34" i="1"/>
  <c r="BD34" i="1"/>
  <c r="BC34" i="1"/>
  <c r="AZ34" i="1"/>
  <c r="AY34" i="1"/>
  <c r="AX34" i="1"/>
  <c r="AU34" i="1"/>
  <c r="AN34" i="1"/>
  <c r="AM34" i="1"/>
  <c r="AQ34" i="1" s="1"/>
  <c r="AL34" i="1"/>
  <c r="AO34" i="1" s="1"/>
  <c r="AE34" i="1"/>
  <c r="AD34" i="1"/>
  <c r="AC34" i="1"/>
  <c r="AF34" i="1" s="1"/>
  <c r="Y34" i="1"/>
  <c r="V34" i="1"/>
  <c r="W34" i="1" s="1"/>
  <c r="U34" i="1"/>
  <c r="T34" i="1"/>
  <c r="M34" i="1"/>
  <c r="L34" i="1"/>
  <c r="K34" i="1"/>
  <c r="O34" i="1" s="1"/>
  <c r="H34" i="1"/>
  <c r="Z34" i="1" s="1"/>
  <c r="G34" i="1"/>
  <c r="F34" i="1"/>
  <c r="BP34" i="1" s="1"/>
  <c r="CM33" i="1"/>
  <c r="CG33" i="1"/>
  <c r="CF33" i="1"/>
  <c r="CE33" i="1"/>
  <c r="CA33" i="1"/>
  <c r="BR33" i="1"/>
  <c r="BQ33" i="1"/>
  <c r="BP33" i="1"/>
  <c r="BM33" i="1"/>
  <c r="AZ33" i="1"/>
  <c r="AY33" i="1"/>
  <c r="AX33" i="1"/>
  <c r="AU33" i="1"/>
  <c r="AN33" i="1"/>
  <c r="AM33" i="1"/>
  <c r="AO33" i="1" s="1"/>
  <c r="AL33" i="1"/>
  <c r="AE33" i="1"/>
  <c r="AD33" i="1"/>
  <c r="AC33" i="1"/>
  <c r="AF33" i="1" s="1"/>
  <c r="Z33" i="1"/>
  <c r="V33" i="1"/>
  <c r="U33" i="1"/>
  <c r="T33" i="1"/>
  <c r="W33" i="1" s="1"/>
  <c r="M33" i="1"/>
  <c r="L33" i="1"/>
  <c r="K33" i="1"/>
  <c r="H33" i="1"/>
  <c r="G33" i="1"/>
  <c r="F33" i="1"/>
  <c r="CM32" i="1"/>
  <c r="CG32" i="1"/>
  <c r="CF32" i="1"/>
  <c r="CE32" i="1"/>
  <c r="CA32" i="1"/>
  <c r="BR32" i="1"/>
  <c r="AZ32" i="1"/>
  <c r="BD32" i="1" s="1"/>
  <c r="AY32" i="1"/>
  <c r="AX32" i="1"/>
  <c r="BB32" i="1" s="1"/>
  <c r="AU32" i="1"/>
  <c r="AV32" i="1" s="1"/>
  <c r="AN32" i="1"/>
  <c r="AR32" i="1" s="1"/>
  <c r="AM32" i="1"/>
  <c r="AL32" i="1"/>
  <c r="AE32" i="1"/>
  <c r="AD32" i="1"/>
  <c r="AC32" i="1"/>
  <c r="AG32" i="1" s="1"/>
  <c r="V32" i="1"/>
  <c r="Z32" i="1" s="1"/>
  <c r="U32" i="1"/>
  <c r="T32" i="1"/>
  <c r="Q32" i="1"/>
  <c r="P32" i="1"/>
  <c r="O32" i="1"/>
  <c r="M32" i="1"/>
  <c r="L32" i="1"/>
  <c r="K32" i="1"/>
  <c r="N32" i="1" s="1"/>
  <c r="H32" i="1"/>
  <c r="G32" i="1"/>
  <c r="BQ32" i="1" s="1"/>
  <c r="F32" i="1"/>
  <c r="CM31" i="1"/>
  <c r="CG31" i="1"/>
  <c r="CF31" i="1"/>
  <c r="CE31" i="1"/>
  <c r="CA31" i="1"/>
  <c r="BY31" i="1"/>
  <c r="BR31" i="1"/>
  <c r="BQ31" i="1"/>
  <c r="BU31" i="1" s="1"/>
  <c r="BP31" i="1"/>
  <c r="AZ31" i="1"/>
  <c r="BD31" i="1" s="1"/>
  <c r="AY31" i="1"/>
  <c r="AX31" i="1"/>
  <c r="AU31" i="1"/>
  <c r="AV31" i="1" s="1"/>
  <c r="AR31" i="1"/>
  <c r="AN31" i="1"/>
  <c r="AM31" i="1"/>
  <c r="AQ31" i="1" s="1"/>
  <c r="AL31" i="1"/>
  <c r="AE31" i="1"/>
  <c r="AD31" i="1"/>
  <c r="BL31" i="1" s="1"/>
  <c r="AC31" i="1"/>
  <c r="AG31" i="1" s="1"/>
  <c r="V31" i="1"/>
  <c r="U31" i="1"/>
  <c r="T31" i="1"/>
  <c r="M31" i="1"/>
  <c r="Q31" i="1" s="1"/>
  <c r="L31" i="1"/>
  <c r="L35" i="1" s="1"/>
  <c r="K31" i="1"/>
  <c r="O31" i="1" s="1"/>
  <c r="H31" i="1"/>
  <c r="G31" i="1"/>
  <c r="F31" i="1"/>
  <c r="CM30" i="1"/>
  <c r="CG30" i="1"/>
  <c r="CF30" i="1"/>
  <c r="CE30" i="1"/>
  <c r="CI30" i="1" s="1"/>
  <c r="CA30" i="1"/>
  <c r="BR30" i="1"/>
  <c r="AZ30" i="1"/>
  <c r="AY30" i="1"/>
  <c r="AX30" i="1"/>
  <c r="BA30" i="1" s="1"/>
  <c r="AU30" i="1"/>
  <c r="AN30" i="1"/>
  <c r="AM30" i="1"/>
  <c r="AL30" i="1"/>
  <c r="AE30" i="1"/>
  <c r="AD30" i="1"/>
  <c r="AC30" i="1"/>
  <c r="Z30" i="1"/>
  <c r="V30" i="1"/>
  <c r="U30" i="1"/>
  <c r="T30" i="1"/>
  <c r="M30" i="1"/>
  <c r="L30" i="1"/>
  <c r="K30" i="1"/>
  <c r="N30" i="1" s="1"/>
  <c r="H30" i="1"/>
  <c r="BD30" i="1" s="1"/>
  <c r="G30" i="1"/>
  <c r="BQ30" i="1" s="1"/>
  <c r="BU30" i="1" s="1"/>
  <c r="F30" i="1"/>
  <c r="CM29" i="1"/>
  <c r="CH29" i="1"/>
  <c r="CG29" i="1"/>
  <c r="CF29" i="1"/>
  <c r="CE29" i="1"/>
  <c r="CA29" i="1"/>
  <c r="BR29" i="1"/>
  <c r="BV29" i="1" s="1"/>
  <c r="AZ29" i="1"/>
  <c r="AY29" i="1"/>
  <c r="AX29" i="1"/>
  <c r="AU29" i="1"/>
  <c r="AN29" i="1"/>
  <c r="AN35" i="1" s="1"/>
  <c r="AM29" i="1"/>
  <c r="AQ29" i="1" s="1"/>
  <c r="AL29" i="1"/>
  <c r="AE29" i="1"/>
  <c r="AD29" i="1"/>
  <c r="AC29" i="1"/>
  <c r="V29" i="1"/>
  <c r="U29" i="1"/>
  <c r="T29" i="1"/>
  <c r="P29" i="1"/>
  <c r="O29" i="1"/>
  <c r="M29" i="1"/>
  <c r="N29" i="1" s="1"/>
  <c r="L29" i="1"/>
  <c r="K29" i="1"/>
  <c r="H29" i="1"/>
  <c r="G29" i="1"/>
  <c r="CJ29" i="1" s="1"/>
  <c r="F29" i="1"/>
  <c r="CA28" i="1"/>
  <c r="BR28" i="1"/>
  <c r="AU28" i="1"/>
  <c r="CA27" i="1"/>
  <c r="BR27" i="1"/>
  <c r="AU27" i="1"/>
  <c r="CM26" i="1"/>
  <c r="CG26" i="1"/>
  <c r="CF26" i="1"/>
  <c r="CJ26" i="1" s="1"/>
  <c r="CE26" i="1"/>
  <c r="CA26" i="1"/>
  <c r="BR26" i="1"/>
  <c r="BV26" i="1" s="1"/>
  <c r="BQ26" i="1"/>
  <c r="BU26" i="1" s="1"/>
  <c r="BP26" i="1"/>
  <c r="AZ26" i="1"/>
  <c r="AY26" i="1"/>
  <c r="AX26" i="1"/>
  <c r="AU26" i="1"/>
  <c r="AQ26" i="1"/>
  <c r="AP26" i="1"/>
  <c r="AN26" i="1"/>
  <c r="AR26" i="1" s="1"/>
  <c r="AM26" i="1"/>
  <c r="AL26" i="1"/>
  <c r="AE26" i="1"/>
  <c r="AD26" i="1"/>
  <c r="AC26" i="1"/>
  <c r="V26" i="1"/>
  <c r="Z26" i="1" s="1"/>
  <c r="U26" i="1"/>
  <c r="T26" i="1"/>
  <c r="W26" i="1" s="1"/>
  <c r="M26" i="1"/>
  <c r="Q26" i="1" s="1"/>
  <c r="L26" i="1"/>
  <c r="K26" i="1"/>
  <c r="H26" i="1"/>
  <c r="AI26" i="1" s="1"/>
  <c r="G26" i="1"/>
  <c r="BC26" i="1" s="1"/>
  <c r="F26" i="1"/>
  <c r="CN25" i="1"/>
  <c r="CA25" i="1"/>
  <c r="CC25" i="1" s="1"/>
  <c r="BY25" i="1"/>
  <c r="BW25" i="1"/>
  <c r="BV25" i="1"/>
  <c r="BU25" i="1"/>
  <c r="BT25" i="1"/>
  <c r="BN25" i="1"/>
  <c r="AU25" i="1"/>
  <c r="AV25" i="1" s="1"/>
  <c r="AS25" i="1"/>
  <c r="AR25" i="1"/>
  <c r="AQ25" i="1"/>
  <c r="AP25" i="1"/>
  <c r="AJ25" i="1"/>
  <c r="AI25" i="1"/>
  <c r="AH25" i="1"/>
  <c r="AG25" i="1"/>
  <c r="AA25" i="1"/>
  <c r="Z25" i="1"/>
  <c r="Y25" i="1"/>
  <c r="X25" i="1"/>
  <c r="R25" i="1"/>
  <c r="Q25" i="1"/>
  <c r="P25" i="1"/>
  <c r="O25" i="1"/>
  <c r="CN24" i="1"/>
  <c r="CA24" i="1"/>
  <c r="CC24" i="1" s="1"/>
  <c r="BY24" i="1"/>
  <c r="BW24" i="1"/>
  <c r="BV24" i="1"/>
  <c r="BU24" i="1"/>
  <c r="BT24" i="1"/>
  <c r="BN24" i="1"/>
  <c r="AU24" i="1"/>
  <c r="AV24" i="1" s="1"/>
  <c r="AS24" i="1"/>
  <c r="AR24" i="1"/>
  <c r="AQ24" i="1"/>
  <c r="AP24" i="1"/>
  <c r="AJ24" i="1"/>
  <c r="AI24" i="1"/>
  <c r="AH24" i="1"/>
  <c r="AG24" i="1"/>
  <c r="AA24" i="1"/>
  <c r="Z24" i="1"/>
  <c r="Y24" i="1"/>
  <c r="X24" i="1"/>
  <c r="R24" i="1"/>
  <c r="Q24" i="1"/>
  <c r="P24" i="1"/>
  <c r="O24" i="1"/>
  <c r="CM23" i="1"/>
  <c r="CM27" i="1" s="1"/>
  <c r="CM28" i="1" s="1"/>
  <c r="CA23" i="1"/>
  <c r="BR23" i="1"/>
  <c r="BV23" i="1" s="1"/>
  <c r="AU23" i="1"/>
  <c r="CM22" i="1"/>
  <c r="CG22" i="1"/>
  <c r="CF22" i="1"/>
  <c r="CJ22" i="1" s="1"/>
  <c r="CE22" i="1"/>
  <c r="CI22" i="1" s="1"/>
  <c r="CA22" i="1"/>
  <c r="BR22" i="1"/>
  <c r="BQ22" i="1"/>
  <c r="BP22" i="1"/>
  <c r="BM22" i="1"/>
  <c r="BL22" i="1"/>
  <c r="AZ22" i="1"/>
  <c r="AY22" i="1"/>
  <c r="AY23" i="1" s="1"/>
  <c r="AY27" i="1" s="1"/>
  <c r="AX22" i="1"/>
  <c r="BA22" i="1" s="1"/>
  <c r="AU22" i="1"/>
  <c r="AP22" i="1"/>
  <c r="AN22" i="1"/>
  <c r="AM22" i="1"/>
  <c r="AO22" i="1" s="1"/>
  <c r="AL22" i="1"/>
  <c r="AE22" i="1"/>
  <c r="AD22" i="1"/>
  <c r="AC22" i="1"/>
  <c r="AF22" i="1" s="1"/>
  <c r="V22" i="1"/>
  <c r="U22" i="1"/>
  <c r="T22" i="1"/>
  <c r="W22" i="1" s="1"/>
  <c r="M22" i="1"/>
  <c r="M23" i="1" s="1"/>
  <c r="M27" i="1" s="1"/>
  <c r="L22" i="1"/>
  <c r="K22" i="1"/>
  <c r="O22" i="1" s="1"/>
  <c r="H22" i="1"/>
  <c r="I22" i="1" s="1"/>
  <c r="G22" i="1"/>
  <c r="F22" i="1"/>
  <c r="BG22" i="1" s="1"/>
  <c r="BJ22" i="1" s="1"/>
  <c r="CN21" i="1"/>
  <c r="CL21" i="1"/>
  <c r="CK21" i="1"/>
  <c r="CJ21" i="1"/>
  <c r="CI21" i="1"/>
  <c r="CA21" i="1"/>
  <c r="CC21" i="1" s="1"/>
  <c r="BY21" i="1"/>
  <c r="BW21" i="1"/>
  <c r="BV21" i="1"/>
  <c r="BU21" i="1"/>
  <c r="BT21" i="1"/>
  <c r="BN21" i="1"/>
  <c r="BK21" i="1"/>
  <c r="BG21" i="1"/>
  <c r="BE21" i="1"/>
  <c r="BD21" i="1"/>
  <c r="BC21" i="1"/>
  <c r="BB21" i="1"/>
  <c r="AU21" i="1"/>
  <c r="AV21" i="1" s="1"/>
  <c r="AS21" i="1"/>
  <c r="AR21" i="1"/>
  <c r="AQ21" i="1"/>
  <c r="AP21" i="1"/>
  <c r="AJ21" i="1"/>
  <c r="AI21" i="1"/>
  <c r="AH21" i="1"/>
  <c r="AG21" i="1"/>
  <c r="AA21" i="1"/>
  <c r="Z21" i="1"/>
  <c r="Y21" i="1"/>
  <c r="X21" i="1"/>
  <c r="R21" i="1"/>
  <c r="Q21" i="1"/>
  <c r="P21" i="1"/>
  <c r="O21" i="1"/>
  <c r="CN20" i="1"/>
  <c r="CL20" i="1"/>
  <c r="CK20" i="1"/>
  <c r="CJ20" i="1"/>
  <c r="CI20" i="1"/>
  <c r="CA20" i="1"/>
  <c r="CC20" i="1" s="1"/>
  <c r="BY20" i="1"/>
  <c r="BW20" i="1"/>
  <c r="BV20" i="1"/>
  <c r="BU20" i="1"/>
  <c r="BT20" i="1"/>
  <c r="BN20" i="1"/>
  <c r="BK20" i="1"/>
  <c r="BG20" i="1"/>
  <c r="BE20" i="1"/>
  <c r="BD20" i="1"/>
  <c r="BC20" i="1"/>
  <c r="BB20" i="1"/>
  <c r="AU20" i="1"/>
  <c r="AV20" i="1" s="1"/>
  <c r="AS20" i="1"/>
  <c r="AR20" i="1"/>
  <c r="AQ20" i="1"/>
  <c r="AP20" i="1"/>
  <c r="AJ20" i="1"/>
  <c r="AI20" i="1"/>
  <c r="AH20" i="1"/>
  <c r="AG20" i="1"/>
  <c r="AA20" i="1"/>
  <c r="Z20" i="1"/>
  <c r="Y20" i="1"/>
  <c r="X20" i="1"/>
  <c r="R20" i="1"/>
  <c r="Q20" i="1"/>
  <c r="P20" i="1"/>
  <c r="O20" i="1"/>
  <c r="CM19" i="1"/>
  <c r="CG19" i="1"/>
  <c r="CF19" i="1"/>
  <c r="CE19" i="1"/>
  <c r="CA19" i="1"/>
  <c r="BR19" i="1"/>
  <c r="BQ19" i="1"/>
  <c r="BP19" i="1"/>
  <c r="BT19" i="1" s="1"/>
  <c r="BG19" i="1"/>
  <c r="BJ19" i="1" s="1"/>
  <c r="BB19" i="1"/>
  <c r="BA19" i="1"/>
  <c r="AZ19" i="1"/>
  <c r="AY19" i="1"/>
  <c r="AX19" i="1"/>
  <c r="AU19" i="1"/>
  <c r="AN19" i="1"/>
  <c r="AM19" i="1"/>
  <c r="AL19" i="1"/>
  <c r="AL23" i="1" s="1"/>
  <c r="AE19" i="1"/>
  <c r="AE23" i="1" s="1"/>
  <c r="AE27" i="1" s="1"/>
  <c r="AE28" i="1" s="1"/>
  <c r="BV28" i="1" s="1"/>
  <c r="AD19" i="1"/>
  <c r="AD23" i="1" s="1"/>
  <c r="AD27" i="1" s="1"/>
  <c r="AC19" i="1"/>
  <c r="Y19" i="1"/>
  <c r="X19" i="1"/>
  <c r="V19" i="1"/>
  <c r="V23" i="1" s="1"/>
  <c r="V27" i="1" s="1"/>
  <c r="V28" i="1" s="1"/>
  <c r="U19" i="1"/>
  <c r="U23" i="1" s="1"/>
  <c r="U27" i="1" s="1"/>
  <c r="T19" i="1"/>
  <c r="W19" i="1" s="1"/>
  <c r="M19" i="1"/>
  <c r="L19" i="1"/>
  <c r="P19" i="1" s="1"/>
  <c r="K19" i="1"/>
  <c r="N19" i="1" s="1"/>
  <c r="H19" i="1"/>
  <c r="G19" i="1"/>
  <c r="F19" i="1"/>
  <c r="CN18" i="1"/>
  <c r="CL18" i="1"/>
  <c r="CK18" i="1"/>
  <c r="CJ18" i="1"/>
  <c r="CI18" i="1"/>
  <c r="CA18" i="1"/>
  <c r="CC18" i="1" s="1"/>
  <c r="BW18" i="1"/>
  <c r="BR18" i="1"/>
  <c r="BQ18" i="1"/>
  <c r="BU18" i="1" s="1"/>
  <c r="BP18" i="1"/>
  <c r="BT18" i="1" s="1"/>
  <c r="BN18" i="1"/>
  <c r="BM18" i="1"/>
  <c r="BL18" i="1"/>
  <c r="BK18" i="1"/>
  <c r="BG18" i="1"/>
  <c r="BE18" i="1"/>
  <c r="BD18" i="1"/>
  <c r="BC18" i="1"/>
  <c r="BB18" i="1"/>
  <c r="AU18" i="1"/>
  <c r="AV18" i="1" s="1"/>
  <c r="AS18" i="1"/>
  <c r="AR18" i="1"/>
  <c r="AQ18" i="1"/>
  <c r="AP18" i="1"/>
  <c r="AJ18" i="1"/>
  <c r="AI18" i="1"/>
  <c r="AH18" i="1"/>
  <c r="AG18" i="1"/>
  <c r="AA18" i="1"/>
  <c r="Z18" i="1"/>
  <c r="Y18" i="1"/>
  <c r="X18" i="1"/>
  <c r="R18" i="1"/>
  <c r="Q18" i="1"/>
  <c r="P18" i="1"/>
  <c r="O18" i="1"/>
  <c r="CN17" i="1"/>
  <c r="CL17" i="1"/>
  <c r="CK17" i="1"/>
  <c r="CJ17" i="1"/>
  <c r="CI17" i="1"/>
  <c r="CA17" i="1"/>
  <c r="CC17" i="1" s="1"/>
  <c r="BY17" i="1"/>
  <c r="BW17" i="1"/>
  <c r="BV17" i="1"/>
  <c r="BU17" i="1"/>
  <c r="BR17" i="1"/>
  <c r="BQ17" i="1"/>
  <c r="BP17" i="1"/>
  <c r="BT17" i="1" s="1"/>
  <c r="BN17" i="1"/>
  <c r="BM17" i="1"/>
  <c r="BL17" i="1"/>
  <c r="BK17" i="1"/>
  <c r="BG17" i="1"/>
  <c r="BE17" i="1"/>
  <c r="BD17" i="1"/>
  <c r="BC17" i="1"/>
  <c r="BB17" i="1"/>
  <c r="AU17" i="1"/>
  <c r="AV17" i="1" s="1"/>
  <c r="AS17" i="1"/>
  <c r="AR17" i="1"/>
  <c r="AQ17" i="1"/>
  <c r="AP17" i="1"/>
  <c r="AJ17" i="1"/>
  <c r="AI17" i="1"/>
  <c r="AH17" i="1"/>
  <c r="AG17" i="1"/>
  <c r="AA17" i="1"/>
  <c r="Z17" i="1"/>
  <c r="Y17" i="1"/>
  <c r="X17" i="1"/>
  <c r="R17" i="1"/>
  <c r="Q17" i="1"/>
  <c r="P17" i="1"/>
  <c r="O17" i="1"/>
  <c r="CC16" i="1"/>
  <c r="BW16" i="1"/>
  <c r="BV16" i="1"/>
  <c r="BU16" i="1"/>
  <c r="BT16" i="1"/>
  <c r="CC15" i="1"/>
  <c r="BW15" i="1"/>
  <c r="BV15" i="1"/>
  <c r="BU15" i="1"/>
  <c r="BT15" i="1"/>
  <c r="CM14" i="1"/>
  <c r="CG14" i="1"/>
  <c r="CF14" i="1"/>
  <c r="CJ14" i="1" s="1"/>
  <c r="CE14" i="1"/>
  <c r="CI14" i="1" s="1"/>
  <c r="CA14" i="1"/>
  <c r="CC14" i="1" s="1"/>
  <c r="BR14" i="1"/>
  <c r="BQ14" i="1"/>
  <c r="BP14" i="1"/>
  <c r="BG14" i="1"/>
  <c r="BJ14" i="1" s="1"/>
  <c r="BD14" i="1"/>
  <c r="AZ14" i="1"/>
  <c r="AY14" i="1"/>
  <c r="AX14" i="1"/>
  <c r="AU14" i="1"/>
  <c r="AN14" i="1"/>
  <c r="AM14" i="1"/>
  <c r="AQ14" i="1" s="1"/>
  <c r="AL14" i="1"/>
  <c r="AP14" i="1" s="1"/>
  <c r="AE14" i="1"/>
  <c r="AD14" i="1"/>
  <c r="AC14" i="1"/>
  <c r="AF14" i="1" s="1"/>
  <c r="V14" i="1"/>
  <c r="U14" i="1"/>
  <c r="T14" i="1"/>
  <c r="W14" i="1" s="1"/>
  <c r="M14" i="1"/>
  <c r="L14" i="1"/>
  <c r="P14" i="1" s="1"/>
  <c r="K14" i="1"/>
  <c r="O14" i="1" s="1"/>
  <c r="I14" i="1"/>
  <c r="AA14" i="1" s="1"/>
  <c r="H14" i="1"/>
  <c r="G14" i="1"/>
  <c r="F14" i="1"/>
  <c r="CM13" i="1"/>
  <c r="CG13" i="1"/>
  <c r="CK13" i="1" s="1"/>
  <c r="CF13" i="1"/>
  <c r="CJ13" i="1" s="1"/>
  <c r="CE13" i="1"/>
  <c r="CA13" i="1"/>
  <c r="BR13" i="1"/>
  <c r="BQ13" i="1"/>
  <c r="BU13" i="1" s="1"/>
  <c r="BP13" i="1"/>
  <c r="BT13" i="1" s="1"/>
  <c r="AZ13" i="1"/>
  <c r="AY13" i="1"/>
  <c r="AX13" i="1"/>
  <c r="AU13" i="1"/>
  <c r="AN13" i="1"/>
  <c r="AR13" i="1" s="1"/>
  <c r="AM13" i="1"/>
  <c r="AL13" i="1"/>
  <c r="AF13" i="1"/>
  <c r="AE13" i="1"/>
  <c r="AD13" i="1"/>
  <c r="AC13" i="1"/>
  <c r="V13" i="1"/>
  <c r="U13" i="1"/>
  <c r="T13" i="1"/>
  <c r="W13" i="1" s="1"/>
  <c r="R13" i="1"/>
  <c r="M13" i="1"/>
  <c r="L13" i="1"/>
  <c r="K13" i="1"/>
  <c r="H13" i="1"/>
  <c r="AV13" i="1" s="1"/>
  <c r="G13" i="1"/>
  <c r="AQ13" i="1" s="1"/>
  <c r="F13" i="1"/>
  <c r="I13" i="1" s="1"/>
  <c r="CM12" i="1"/>
  <c r="CK12" i="1"/>
  <c r="CJ12" i="1"/>
  <c r="CG12" i="1"/>
  <c r="CF12" i="1"/>
  <c r="CE12" i="1"/>
  <c r="CH12" i="1" s="1"/>
  <c r="CA12" i="1"/>
  <c r="BY12" i="1"/>
  <c r="BR12" i="1"/>
  <c r="BQ12" i="1"/>
  <c r="BU12" i="1" s="1"/>
  <c r="BG12" i="1"/>
  <c r="BJ12" i="1" s="1"/>
  <c r="BD12" i="1"/>
  <c r="AZ12" i="1"/>
  <c r="AY12" i="1"/>
  <c r="BC12" i="1" s="1"/>
  <c r="AX12" i="1"/>
  <c r="BA12" i="1" s="1"/>
  <c r="AU12" i="1"/>
  <c r="AN12" i="1"/>
  <c r="AR12" i="1" s="1"/>
  <c r="AM12" i="1"/>
  <c r="AQ12" i="1" s="1"/>
  <c r="AL12" i="1"/>
  <c r="AG12" i="1"/>
  <c r="AE12" i="1"/>
  <c r="AF12" i="1" s="1"/>
  <c r="AD12" i="1"/>
  <c r="AC12" i="1"/>
  <c r="V12" i="1"/>
  <c r="Z12" i="1" s="1"/>
  <c r="U12" i="1"/>
  <c r="Y12" i="1" s="1"/>
  <c r="T12" i="1"/>
  <c r="Q12" i="1"/>
  <c r="M12" i="1"/>
  <c r="L12" i="1"/>
  <c r="P12" i="1" s="1"/>
  <c r="K12" i="1"/>
  <c r="N12" i="1" s="1"/>
  <c r="H12" i="1"/>
  <c r="G12" i="1"/>
  <c r="BL12" i="1" s="1"/>
  <c r="F12" i="1"/>
  <c r="CM11" i="1"/>
  <c r="CG11" i="1"/>
  <c r="CF11" i="1"/>
  <c r="CE11" i="1"/>
  <c r="CA11" i="1"/>
  <c r="BY11" i="1"/>
  <c r="BR11" i="1"/>
  <c r="AZ11" i="1"/>
  <c r="BD11" i="1" s="1"/>
  <c r="AY11" i="1"/>
  <c r="AX11" i="1"/>
  <c r="BA11" i="1" s="1"/>
  <c r="AU11" i="1"/>
  <c r="AV11" i="1" s="1"/>
  <c r="AR11" i="1"/>
  <c r="AQ11" i="1"/>
  <c r="AN11" i="1"/>
  <c r="AO11" i="1" s="1"/>
  <c r="AM11" i="1"/>
  <c r="AL11" i="1"/>
  <c r="AE11" i="1"/>
  <c r="BM11" i="1" s="1"/>
  <c r="AD11" i="1"/>
  <c r="AC11" i="1"/>
  <c r="V11" i="1"/>
  <c r="Z11" i="1" s="1"/>
  <c r="U11" i="1"/>
  <c r="Y11" i="1" s="1"/>
  <c r="T11" i="1"/>
  <c r="M11" i="1"/>
  <c r="Q11" i="1" s="1"/>
  <c r="L11" i="1"/>
  <c r="K11" i="1"/>
  <c r="H11" i="1"/>
  <c r="AI11" i="1" s="1"/>
  <c r="G11" i="1"/>
  <c r="BC11" i="1" s="1"/>
  <c r="F11" i="1"/>
  <c r="CM10" i="1"/>
  <c r="CJ10" i="1"/>
  <c r="CH10" i="1"/>
  <c r="CG10" i="1"/>
  <c r="CF10" i="1"/>
  <c r="CE10" i="1"/>
  <c r="CA10" i="1"/>
  <c r="BR10" i="1"/>
  <c r="AZ10" i="1"/>
  <c r="AY10" i="1"/>
  <c r="AX10" i="1"/>
  <c r="AU10" i="1"/>
  <c r="AN10" i="1"/>
  <c r="AM10" i="1"/>
  <c r="AL10" i="1"/>
  <c r="AE10" i="1"/>
  <c r="BM10" i="1" s="1"/>
  <c r="AD10" i="1"/>
  <c r="AH10" i="1" s="1"/>
  <c r="AC10" i="1"/>
  <c r="V10" i="1"/>
  <c r="U10" i="1"/>
  <c r="T10" i="1"/>
  <c r="M10" i="1"/>
  <c r="L10" i="1"/>
  <c r="P10" i="1" s="1"/>
  <c r="K10" i="1"/>
  <c r="H10" i="1"/>
  <c r="CK10" i="1" s="1"/>
  <c r="G10" i="1"/>
  <c r="F10" i="1"/>
  <c r="BK10" i="1" s="1"/>
  <c r="CM9" i="1"/>
  <c r="CG9" i="1"/>
  <c r="CF9" i="1"/>
  <c r="CE9" i="1"/>
  <c r="CH9" i="1" s="1"/>
  <c r="CA9" i="1"/>
  <c r="BY9" i="1"/>
  <c r="BV9" i="1"/>
  <c r="BR9" i="1"/>
  <c r="BM9" i="1"/>
  <c r="BG9" i="1"/>
  <c r="BJ9" i="1" s="1"/>
  <c r="AZ9" i="1"/>
  <c r="AY9" i="1"/>
  <c r="AX9" i="1"/>
  <c r="AU9" i="1"/>
  <c r="AN9" i="1"/>
  <c r="AM9" i="1"/>
  <c r="AL9" i="1"/>
  <c r="AO9" i="1" s="1"/>
  <c r="AI9" i="1"/>
  <c r="AH9" i="1"/>
  <c r="AE9" i="1"/>
  <c r="AD9" i="1"/>
  <c r="AC9" i="1"/>
  <c r="AF9" i="1" s="1"/>
  <c r="V9" i="1"/>
  <c r="U9" i="1"/>
  <c r="T9" i="1"/>
  <c r="W9" i="1" s="1"/>
  <c r="M9" i="1"/>
  <c r="Q9" i="1" s="1"/>
  <c r="L9" i="1"/>
  <c r="K9" i="1"/>
  <c r="R9" i="1" s="1"/>
  <c r="H9" i="1"/>
  <c r="CK9" i="1" s="1"/>
  <c r="G9" i="1"/>
  <c r="BC9" i="1" s="1"/>
  <c r="F9" i="1"/>
  <c r="I9" i="1" s="1"/>
  <c r="CM8" i="1"/>
  <c r="CG8" i="1"/>
  <c r="CF8" i="1"/>
  <c r="CE8" i="1"/>
  <c r="CH8" i="1" s="1"/>
  <c r="CA8" i="1"/>
  <c r="BR8" i="1"/>
  <c r="AZ8" i="1"/>
  <c r="AY8" i="1"/>
  <c r="AX8" i="1"/>
  <c r="AU8" i="1"/>
  <c r="AQ8" i="1"/>
  <c r="AN8" i="1"/>
  <c r="AM8" i="1"/>
  <c r="AL8" i="1"/>
  <c r="AO8" i="1" s="1"/>
  <c r="AE8" i="1"/>
  <c r="BV8" i="1" s="1"/>
  <c r="AD8" i="1"/>
  <c r="BL8" i="1" s="1"/>
  <c r="AC8" i="1"/>
  <c r="AF8" i="1" s="1"/>
  <c r="V8" i="1"/>
  <c r="U8" i="1"/>
  <c r="T8" i="1"/>
  <c r="M8" i="1"/>
  <c r="L8" i="1"/>
  <c r="K8" i="1"/>
  <c r="N8" i="1" s="1"/>
  <c r="H8" i="1"/>
  <c r="AR8" i="1" s="1"/>
  <c r="G8" i="1"/>
  <c r="F8" i="1"/>
  <c r="BG8" i="1" s="1"/>
  <c r="BJ8" i="1" s="1"/>
  <c r="CM7" i="1"/>
  <c r="CG7" i="1"/>
  <c r="CF7" i="1"/>
  <c r="CE7" i="1"/>
  <c r="CA7" i="1"/>
  <c r="BR7" i="1"/>
  <c r="BG7" i="1"/>
  <c r="BJ7" i="1" s="1"/>
  <c r="AZ7" i="1"/>
  <c r="AY7" i="1"/>
  <c r="AX7" i="1"/>
  <c r="AU7" i="1"/>
  <c r="AN7" i="1"/>
  <c r="AR7" i="1" s="1"/>
  <c r="AM7" i="1"/>
  <c r="AL7" i="1"/>
  <c r="AE7" i="1"/>
  <c r="AD7" i="1"/>
  <c r="AC7" i="1"/>
  <c r="BK7" i="1" s="1"/>
  <c r="V7" i="1"/>
  <c r="U7" i="1"/>
  <c r="T7" i="1"/>
  <c r="X7" i="1" s="1"/>
  <c r="M7" i="1"/>
  <c r="L7" i="1"/>
  <c r="K7" i="1"/>
  <c r="N7" i="1" s="1"/>
  <c r="H7" i="1"/>
  <c r="BY7" i="1" s="1"/>
  <c r="G7" i="1"/>
  <c r="F7" i="1"/>
  <c r="I7" i="1" s="1"/>
  <c r="CL6" i="1"/>
  <c r="CH6" i="1"/>
  <c r="BJ6" i="1"/>
  <c r="BN6" i="1" s="1"/>
  <c r="BI6" i="1"/>
  <c r="BM6" i="1" s="1"/>
  <c r="BH6" i="1"/>
  <c r="BL6" i="1" s="1"/>
  <c r="BD6" i="1"/>
  <c r="AS6" i="1"/>
  <c r="BE6" i="1" s="1"/>
  <c r="AO6" i="1"/>
  <c r="BA6" i="1" s="1"/>
  <c r="AA6" i="1"/>
  <c r="Z6" i="1"/>
  <c r="AR6" i="1" s="1"/>
  <c r="W6" i="1"/>
  <c r="V6" i="1"/>
  <c r="U6" i="1"/>
  <c r="N6" i="1"/>
  <c r="R6" i="1" s="1"/>
  <c r="H6" i="1"/>
  <c r="M6" i="1" s="1"/>
  <c r="Q6" i="1" s="1"/>
  <c r="G6" i="1"/>
  <c r="F6" i="1"/>
  <c r="T6" i="1" s="1"/>
  <c r="CN13" i="1" l="1"/>
  <c r="AA13" i="1"/>
  <c r="AD28" i="1"/>
  <c r="AD82" i="1"/>
  <c r="AO26" i="1"/>
  <c r="AS26" i="1" s="1"/>
  <c r="CI33" i="1"/>
  <c r="X33" i="1"/>
  <c r="AP33" i="1"/>
  <c r="AQ60" i="1"/>
  <c r="AS60" i="1" s="1"/>
  <c r="Y60" i="1"/>
  <c r="W71" i="1"/>
  <c r="N10" i="1"/>
  <c r="BB12" i="1"/>
  <c r="X26" i="1"/>
  <c r="AQ33" i="1"/>
  <c r="BV33" i="1"/>
  <c r="CH38" i="1"/>
  <c r="W42" i="1"/>
  <c r="W44" i="1"/>
  <c r="BG57" i="1"/>
  <c r="BJ57" i="1" s="1"/>
  <c r="CH63" i="1"/>
  <c r="AR72" i="1"/>
  <c r="BA10" i="1"/>
  <c r="CI11" i="1"/>
  <c r="BB11" i="1"/>
  <c r="AG11" i="1"/>
  <c r="L23" i="1"/>
  <c r="L27" i="1" s="1"/>
  <c r="Y26" i="1"/>
  <c r="W32" i="1"/>
  <c r="I33" i="1"/>
  <c r="CM39" i="1"/>
  <c r="AF38" i="1"/>
  <c r="CJ44" i="1"/>
  <c r="AQ55" i="1"/>
  <c r="O60" i="1"/>
  <c r="P65" i="1"/>
  <c r="N70" i="1"/>
  <c r="BK77" i="1"/>
  <c r="AP77" i="1"/>
  <c r="CI77" i="1"/>
  <c r="AG77" i="1"/>
  <c r="BK8" i="1"/>
  <c r="AI19" i="1"/>
  <c r="Z19" i="1"/>
  <c r="BV60" i="1"/>
  <c r="BS69" i="1"/>
  <c r="BW69" i="1" s="1"/>
  <c r="N34" i="1"/>
  <c r="T61" i="1"/>
  <c r="W61" i="1" s="1"/>
  <c r="W59" i="1"/>
  <c r="BG6" i="1"/>
  <c r="BK6" i="1" s="1"/>
  <c r="X38" i="1"/>
  <c r="BK38" i="1"/>
  <c r="BG38" i="1"/>
  <c r="BJ38" i="1" s="1"/>
  <c r="AO65" i="1"/>
  <c r="BL13" i="1"/>
  <c r="P13" i="1"/>
  <c r="Y13" i="1"/>
  <c r="Q19" i="1"/>
  <c r="I26" i="1"/>
  <c r="CI26" i="1"/>
  <c r="P30" i="1"/>
  <c r="CH30" i="1"/>
  <c r="P31" i="1"/>
  <c r="P33" i="1"/>
  <c r="CF45" i="1"/>
  <c r="CJ60" i="1"/>
  <c r="AH75" i="1"/>
  <c r="BG11" i="1"/>
  <c r="BJ11" i="1" s="1"/>
  <c r="BV12" i="1"/>
  <c r="Z13" i="1"/>
  <c r="CI13" i="1"/>
  <c r="BU19" i="1"/>
  <c r="AG26" i="1"/>
  <c r="AG29" i="1"/>
  <c r="X29" i="1"/>
  <c r="BB29" i="1"/>
  <c r="CI29" i="1"/>
  <c r="Q30" i="1"/>
  <c r="AV30" i="1"/>
  <c r="BC32" i="1"/>
  <c r="X34" i="1"/>
  <c r="BB34" i="1"/>
  <c r="AC39" i="1"/>
  <c r="BV36" i="1"/>
  <c r="AD45" i="1"/>
  <c r="X59" i="1"/>
  <c r="CK60" i="1"/>
  <c r="CH69" i="1"/>
  <c r="AR75" i="1"/>
  <c r="AO75" i="1"/>
  <c r="AS75" i="1" s="1"/>
  <c r="BM75" i="1"/>
  <c r="N78" i="1"/>
  <c r="AO10" i="1"/>
  <c r="BP57" i="1"/>
  <c r="O57" i="1"/>
  <c r="AI70" i="1"/>
  <c r="Z70" i="1"/>
  <c r="AR10" i="1"/>
  <c r="CA83" i="1"/>
  <c r="AH57" i="1"/>
  <c r="BQ57" i="1"/>
  <c r="BU57" i="1" s="1"/>
  <c r="BC57" i="1"/>
  <c r="CC13" i="1"/>
  <c r="X13" i="1"/>
  <c r="BN19" i="1"/>
  <c r="AR30" i="1"/>
  <c r="BK42" i="1"/>
  <c r="AC45" i="1"/>
  <c r="AF45" i="1" s="1"/>
  <c r="BU59" i="1"/>
  <c r="BW71" i="1"/>
  <c r="CC75" i="1"/>
  <c r="CK78" i="1"/>
  <c r="BY78" i="1"/>
  <c r="AF7" i="1"/>
  <c r="BL7" i="1"/>
  <c r="BM12" i="1"/>
  <c r="AN23" i="1"/>
  <c r="AN27" i="1" s="1"/>
  <c r="AN82" i="1" s="1"/>
  <c r="T23" i="1"/>
  <c r="BC29" i="1"/>
  <c r="W30" i="1"/>
  <c r="CJ30" i="1"/>
  <c r="BA37" i="1"/>
  <c r="N38" i="1"/>
  <c r="CJ42" i="1"/>
  <c r="Y55" i="1"/>
  <c r="Y59" i="1"/>
  <c r="AQ59" i="1"/>
  <c r="AQ61" i="1" s="1"/>
  <c r="CJ59" i="1"/>
  <c r="BC60" i="1"/>
  <c r="CJ64" i="1"/>
  <c r="AQ64" i="1"/>
  <c r="CH66" i="1"/>
  <c r="I75" i="1"/>
  <c r="R75" i="1" s="1"/>
  <c r="AV78" i="1"/>
  <c r="BC30" i="1"/>
  <c r="CK36" i="1"/>
  <c r="AV36" i="1"/>
  <c r="BU60" i="1"/>
  <c r="I19" i="1"/>
  <c r="BK60" i="1"/>
  <c r="CI60" i="1"/>
  <c r="AP60" i="1"/>
  <c r="X60" i="1"/>
  <c r="CH72" i="1"/>
  <c r="BU33" i="1"/>
  <c r="BA59" i="1"/>
  <c r="AY61" i="1"/>
  <c r="BA61" i="1" s="1"/>
  <c r="N9" i="1"/>
  <c r="BA7" i="1"/>
  <c r="AF19" i="1"/>
  <c r="P60" i="1"/>
  <c r="BV7" i="1"/>
  <c r="AI7" i="1"/>
  <c r="X14" i="1"/>
  <c r="Q29" i="1"/>
  <c r="BD29" i="1"/>
  <c r="CK29" i="1"/>
  <c r="CK30" i="1"/>
  <c r="AE39" i="1"/>
  <c r="BQ68" i="1"/>
  <c r="BS68" i="1" s="1"/>
  <c r="BW68" i="1" s="1"/>
  <c r="CJ68" i="1"/>
  <c r="P68" i="1"/>
  <c r="BA68" i="1"/>
  <c r="BV76" i="1"/>
  <c r="AF76" i="1"/>
  <c r="BW76" i="1" s="1"/>
  <c r="CC7" i="1"/>
  <c r="O11" i="1"/>
  <c r="R12" i="1"/>
  <c r="Y14" i="1"/>
  <c r="BN14" i="1"/>
  <c r="BK19" i="1"/>
  <c r="O19" i="1"/>
  <c r="CI19" i="1"/>
  <c r="BG26" i="1"/>
  <c r="BJ26" i="1" s="1"/>
  <c r="K35" i="1"/>
  <c r="AE35" i="1"/>
  <c r="BG29" i="1"/>
  <c r="BJ29" i="1" s="1"/>
  <c r="CM35" i="1"/>
  <c r="P34" i="1"/>
  <c r="BU34" i="1"/>
  <c r="AI36" i="1"/>
  <c r="CF39" i="1"/>
  <c r="I59" i="1"/>
  <c r="CN59" i="1" s="1"/>
  <c r="BM60" i="1"/>
  <c r="BY66" i="1"/>
  <c r="Z66" i="1"/>
  <c r="CK66" i="1"/>
  <c r="AR68" i="1"/>
  <c r="CK68" i="1"/>
  <c r="Q68" i="1"/>
  <c r="BD68" i="1"/>
  <c r="I69" i="1"/>
  <c r="BQ69" i="1"/>
  <c r="BU69" i="1" s="1"/>
  <c r="BV70" i="1"/>
  <c r="W73" i="1"/>
  <c r="I74" i="1"/>
  <c r="AH74" i="1"/>
  <c r="BG77" i="1"/>
  <c r="BJ77" i="1" s="1"/>
  <c r="Q78" i="1"/>
  <c r="AJ13" i="1"/>
  <c r="AR42" i="1"/>
  <c r="AN45" i="1"/>
  <c r="AN46" i="1" s="1"/>
  <c r="AN83" i="1" s="1"/>
  <c r="AN84" i="1" s="1"/>
  <c r="BL55" i="1"/>
  <c r="AH55" i="1"/>
  <c r="AG67" i="1"/>
  <c r="I67" i="1"/>
  <c r="CL67" i="1" s="1"/>
  <c r="BB67" i="1"/>
  <c r="BC65" i="1"/>
  <c r="Y65" i="1"/>
  <c r="CJ65" i="1"/>
  <c r="AQ65" i="1"/>
  <c r="AO14" i="1"/>
  <c r="AS14" i="1" s="1"/>
  <c r="AV10" i="1"/>
  <c r="BK13" i="1"/>
  <c r="BB13" i="1"/>
  <c r="O13" i="1"/>
  <c r="O30" i="1"/>
  <c r="AR19" i="1"/>
  <c r="X22" i="1"/>
  <c r="BQ44" i="1"/>
  <c r="BU44" i="1" s="1"/>
  <c r="AH44" i="1"/>
  <c r="Z55" i="1"/>
  <c r="AI59" i="1"/>
  <c r="Z59" i="1"/>
  <c r="Z61" i="1" s="1"/>
  <c r="AV59" i="1"/>
  <c r="AZ61" i="1"/>
  <c r="AJ7" i="1"/>
  <c r="AN6" i="1"/>
  <c r="AZ6" i="1" s="1"/>
  <c r="CG6" i="1" s="1"/>
  <c r="CK6" i="1" s="1"/>
  <c r="CH7" i="1"/>
  <c r="BD9" i="1"/>
  <c r="AP11" i="1"/>
  <c r="W12" i="1"/>
  <c r="BG13" i="1"/>
  <c r="BJ13" i="1" s="1"/>
  <c r="BN13" i="1" s="1"/>
  <c r="BM14" i="1"/>
  <c r="BL19" i="1"/>
  <c r="AV19" i="1"/>
  <c r="CF23" i="1"/>
  <c r="CF27" i="1" s="1"/>
  <c r="BK26" i="1"/>
  <c r="BP29" i="1"/>
  <c r="BT29" i="1" s="1"/>
  <c r="BK30" i="1"/>
  <c r="AG30" i="1"/>
  <c r="Y30" i="1"/>
  <c r="Y33" i="1"/>
  <c r="BC33" i="1"/>
  <c r="CG39" i="1"/>
  <c r="W37" i="1"/>
  <c r="BS42" i="1"/>
  <c r="BW42" i="1" s="1"/>
  <c r="BT42" i="1"/>
  <c r="AP55" i="1"/>
  <c r="O55" i="1"/>
  <c r="BG55" i="1"/>
  <c r="X57" i="1"/>
  <c r="CI57" i="1"/>
  <c r="AO59" i="1"/>
  <c r="AF60" i="1"/>
  <c r="BP60" i="1"/>
  <c r="BC68" i="1"/>
  <c r="Z69" i="1"/>
  <c r="AV69" i="1"/>
  <c r="AR69" i="1"/>
  <c r="CK69" i="1"/>
  <c r="BU70" i="1"/>
  <c r="AI74" i="1"/>
  <c r="BY74" i="1"/>
  <c r="AO64" i="1"/>
  <c r="CH65" i="1"/>
  <c r="CJ67" i="1"/>
  <c r="BK72" i="1"/>
  <c r="BB72" i="1"/>
  <c r="BA63" i="1"/>
  <c r="CK67" i="1"/>
  <c r="AQ68" i="1"/>
  <c r="W69" i="1"/>
  <c r="BG72" i="1"/>
  <c r="BJ72" i="1" s="1"/>
  <c r="BU32" i="1"/>
  <c r="N36" i="1"/>
  <c r="BA38" i="1"/>
  <c r="W60" i="1"/>
  <c r="CG23" i="1"/>
  <c r="CG27" i="1" s="1"/>
  <c r="CG28" i="1" s="1"/>
  <c r="BA26" i="1"/>
  <c r="CK26" i="1"/>
  <c r="BL30" i="1"/>
  <c r="CH33" i="1"/>
  <c r="CL33" i="1" s="1"/>
  <c r="BA34" i="1"/>
  <c r="BV37" i="1"/>
  <c r="CI42" i="1"/>
  <c r="X42" i="1"/>
  <c r="W63" i="1"/>
  <c r="BA65" i="1"/>
  <c r="BC66" i="1"/>
  <c r="BD67" i="1"/>
  <c r="BV69" i="1"/>
  <c r="Y70" i="1"/>
  <c r="BD70" i="1"/>
  <c r="BT71" i="1"/>
  <c r="BB71" i="1"/>
  <c r="AH72" i="1"/>
  <c r="BL72" i="1"/>
  <c r="CK77" i="1"/>
  <c r="AI78" i="1"/>
  <c r="CJ34" i="1"/>
  <c r="CM45" i="1"/>
  <c r="CM46" i="1" s="1"/>
  <c r="CM83" i="1" s="1"/>
  <c r="Q13" i="1"/>
  <c r="AO7" i="1"/>
  <c r="BA9" i="1"/>
  <c r="BD13" i="1"/>
  <c r="BC19" i="1"/>
  <c r="BU22" i="1"/>
  <c r="N26" i="1"/>
  <c r="R26" i="1" s="1"/>
  <c r="BM30" i="1"/>
  <c r="G35" i="1"/>
  <c r="Y35" i="1" s="1"/>
  <c r="AX39" i="1"/>
  <c r="AY45" i="1"/>
  <c r="N44" i="1"/>
  <c r="CH60" i="1"/>
  <c r="BV61" i="1"/>
  <c r="AF67" i="1"/>
  <c r="BQ67" i="1"/>
  <c r="BU67" i="1" s="1"/>
  <c r="CN67" i="1"/>
  <c r="AP68" i="1"/>
  <c r="BC71" i="1"/>
  <c r="O72" i="1"/>
  <c r="AP72" i="1"/>
  <c r="BP72" i="1"/>
  <c r="BT72" i="1" s="1"/>
  <c r="N73" i="1"/>
  <c r="BA74" i="1"/>
  <c r="BE74" i="1" s="1"/>
  <c r="Q77" i="1"/>
  <c r="AF78" i="1"/>
  <c r="BW78" i="1" s="1"/>
  <c r="J84" i="1"/>
  <c r="BV57" i="1"/>
  <c r="Y7" i="1"/>
  <c r="BV10" i="1"/>
  <c r="AQ7" i="1"/>
  <c r="X8" i="1"/>
  <c r="N11" i="1"/>
  <c r="AI12" i="1"/>
  <c r="BC14" i="1"/>
  <c r="BD19" i="1"/>
  <c r="BV22" i="1"/>
  <c r="AZ23" i="1"/>
  <c r="AZ27" i="1" s="1"/>
  <c r="P26" i="1"/>
  <c r="BD26" i="1"/>
  <c r="U35" i="1"/>
  <c r="U46" i="1" s="1"/>
  <c r="AY35" i="1"/>
  <c r="Z31" i="1"/>
  <c r="AO31" i="1"/>
  <c r="CK32" i="1"/>
  <c r="U39" i="1"/>
  <c r="BC36" i="1"/>
  <c r="CH37" i="1"/>
  <c r="BV39" i="1"/>
  <c r="AI42" i="1"/>
  <c r="Z42" i="1"/>
  <c r="AE45" i="1"/>
  <c r="AE46" i="1" s="1"/>
  <c r="AE47" i="1" s="1"/>
  <c r="BV47" i="1" s="1"/>
  <c r="BV81" i="1" s="1"/>
  <c r="AO44" i="1"/>
  <c r="CA81" i="1"/>
  <c r="CI65" i="1"/>
  <c r="BK68" i="1"/>
  <c r="W68" i="1"/>
  <c r="I71" i="1"/>
  <c r="BD74" i="1"/>
  <c r="N76" i="1"/>
  <c r="W77" i="1"/>
  <c r="AR77" i="1"/>
  <c r="S84" i="1"/>
  <c r="AY82" i="1"/>
  <c r="AY28" i="1"/>
  <c r="CG82" i="1"/>
  <c r="AF6" i="1"/>
  <c r="AJ6" i="1" s="1"/>
  <c r="BS6" i="1"/>
  <c r="BW6" i="1" s="1"/>
  <c r="L82" i="1"/>
  <c r="L28" i="1"/>
  <c r="AJ33" i="1"/>
  <c r="CC33" i="1"/>
  <c r="AA33" i="1"/>
  <c r="BN33" i="1"/>
  <c r="BE33" i="1"/>
  <c r="AS33" i="1"/>
  <c r="CF82" i="1"/>
  <c r="CF28" i="1"/>
  <c r="AS9" i="1"/>
  <c r="CN9" i="1"/>
  <c r="BN9" i="1"/>
  <c r="AA9" i="1"/>
  <c r="AJ9" i="1"/>
  <c r="CL9" i="1"/>
  <c r="BE9" i="1"/>
  <c r="AS22" i="1"/>
  <c r="R22" i="1"/>
  <c r="CL22" i="1"/>
  <c r="BE22" i="1"/>
  <c r="AJ22" i="1"/>
  <c r="CN22" i="1"/>
  <c r="BN22" i="1"/>
  <c r="CC22" i="1"/>
  <c r="AA22" i="1"/>
  <c r="M82" i="1"/>
  <c r="M28" i="1"/>
  <c r="BR6" i="1"/>
  <c r="BV6" i="1" s="1"/>
  <c r="BY6" i="1" s="1"/>
  <c r="AI6" i="1"/>
  <c r="AE6" i="1"/>
  <c r="AV22" i="1"/>
  <c r="CI34" i="1"/>
  <c r="CH34" i="1"/>
  <c r="BB63" i="1"/>
  <c r="BG63" i="1"/>
  <c r="BJ63" i="1" s="1"/>
  <c r="AP63" i="1"/>
  <c r="O63" i="1"/>
  <c r="BK63" i="1"/>
  <c r="I63" i="1"/>
  <c r="CC63" i="1" s="1"/>
  <c r="BP63" i="1"/>
  <c r="CI63" i="1"/>
  <c r="AG63" i="1"/>
  <c r="BM69" i="1"/>
  <c r="AP69" i="1"/>
  <c r="AO69" i="1"/>
  <c r="CI71" i="1"/>
  <c r="CH71" i="1"/>
  <c r="CL71" i="1" s="1"/>
  <c r="BM23" i="1"/>
  <c r="AL27" i="1"/>
  <c r="AF29" i="1"/>
  <c r="P35" i="1"/>
  <c r="BC35" i="1"/>
  <c r="BA32" i="1"/>
  <c r="CH55" i="1"/>
  <c r="CI55" i="1"/>
  <c r="AP61" i="1"/>
  <c r="BM13" i="1"/>
  <c r="AP13" i="1"/>
  <c r="AO13" i="1"/>
  <c r="AS13" i="1" s="1"/>
  <c r="N14" i="1"/>
  <c r="BM19" i="1"/>
  <c r="AP19" i="1"/>
  <c r="AO19" i="1"/>
  <c r="CH19" i="1"/>
  <c r="AF63" i="1"/>
  <c r="AP8" i="1"/>
  <c r="AQ19" i="1"/>
  <c r="AM23" i="1"/>
  <c r="AM27" i="1" s="1"/>
  <c r="T27" i="1"/>
  <c r="W23" i="1"/>
  <c r="BM29" i="1"/>
  <c r="AL35" i="1"/>
  <c r="AP29" i="1"/>
  <c r="AO29" i="1"/>
  <c r="BV31" i="1"/>
  <c r="AI31" i="1"/>
  <c r="AF32" i="1"/>
  <c r="CK57" i="1"/>
  <c r="AI57" i="1"/>
  <c r="AV57" i="1"/>
  <c r="I57" i="1"/>
  <c r="BY57" i="1"/>
  <c r="BD57" i="1"/>
  <c r="Q57" i="1"/>
  <c r="CJ19" i="1"/>
  <c r="AX23" i="1"/>
  <c r="AF31" i="1"/>
  <c r="AD39" i="1"/>
  <c r="AF39" i="1" s="1"/>
  <c r="AH36" i="1"/>
  <c r="AI44" i="1"/>
  <c r="AF10" i="1"/>
  <c r="N22" i="1"/>
  <c r="BK22" i="1"/>
  <c r="CH22" i="1"/>
  <c r="CG35" i="1"/>
  <c r="BG36" i="1"/>
  <c r="BJ36" i="1" s="1"/>
  <c r="AP36" i="1"/>
  <c r="O36" i="1"/>
  <c r="I36" i="1"/>
  <c r="BK36" i="1"/>
  <c r="X36" i="1"/>
  <c r="F39" i="1"/>
  <c r="BP36" i="1"/>
  <c r="BB36" i="1"/>
  <c r="CI36" i="1"/>
  <c r="BB66" i="1"/>
  <c r="I66" i="1"/>
  <c r="AG66" i="1"/>
  <c r="BG66" i="1"/>
  <c r="BJ66" i="1" s="1"/>
  <c r="CI66" i="1"/>
  <c r="O66" i="1"/>
  <c r="BP66" i="1"/>
  <c r="BK66" i="1"/>
  <c r="X66" i="1"/>
  <c r="AP66" i="1"/>
  <c r="W8" i="1"/>
  <c r="CI9" i="1"/>
  <c r="AG10" i="1"/>
  <c r="X12" i="1"/>
  <c r="N31" i="1"/>
  <c r="CK38" i="1"/>
  <c r="BD38" i="1"/>
  <c r="Z38" i="1"/>
  <c r="AV38" i="1"/>
  <c r="Q38" i="1"/>
  <c r="AR38" i="1"/>
  <c r="BM7" i="1"/>
  <c r="BY19" i="1"/>
  <c r="BV19" i="1"/>
  <c r="AQ37" i="1"/>
  <c r="P37" i="1"/>
  <c r="BC37" i="1"/>
  <c r="CJ37" i="1"/>
  <c r="BL37" i="1"/>
  <c r="G39" i="1"/>
  <c r="BQ37" i="1"/>
  <c r="BU37" i="1" s="1"/>
  <c r="AH37" i="1"/>
  <c r="AR55" i="1"/>
  <c r="AO55" i="1"/>
  <c r="BB60" i="1"/>
  <c r="BA60" i="1"/>
  <c r="BT64" i="1"/>
  <c r="BS64" i="1"/>
  <c r="BW64" i="1" s="1"/>
  <c r="BY13" i="1"/>
  <c r="BV13" i="1"/>
  <c r="BS14" i="1"/>
  <c r="BW14" i="1" s="1"/>
  <c r="BT14" i="1"/>
  <c r="BS19" i="1"/>
  <c r="BM31" i="1"/>
  <c r="BU36" i="1"/>
  <c r="K39" i="1"/>
  <c r="BM42" i="1"/>
  <c r="AL45" i="1"/>
  <c r="CJ73" i="1"/>
  <c r="BC73" i="1"/>
  <c r="BQ73" i="1"/>
  <c r="BU73" i="1" s="1"/>
  <c r="BL73" i="1"/>
  <c r="P73" i="1"/>
  <c r="AH73" i="1"/>
  <c r="Y73" i="1"/>
  <c r="AQ73" i="1"/>
  <c r="BB76" i="1"/>
  <c r="BA76" i="1"/>
  <c r="AP7" i="1"/>
  <c r="O7" i="1"/>
  <c r="CI7" i="1"/>
  <c r="BB7" i="1"/>
  <c r="AG7" i="1"/>
  <c r="BP7" i="1"/>
  <c r="BC8" i="1"/>
  <c r="BQ8" i="1"/>
  <c r="BU8" i="1" s="1"/>
  <c r="Y8" i="1"/>
  <c r="AH8" i="1"/>
  <c r="CJ8" i="1"/>
  <c r="P8" i="1"/>
  <c r="AV9" i="1"/>
  <c r="Q10" i="1"/>
  <c r="BV11" i="1"/>
  <c r="BS13" i="1"/>
  <c r="BW13" i="1" s="1"/>
  <c r="AV14" i="1"/>
  <c r="BY14" i="1"/>
  <c r="CK14" i="1"/>
  <c r="AI14" i="1"/>
  <c r="Q14" i="1"/>
  <c r="BU14" i="1"/>
  <c r="AC23" i="1"/>
  <c r="BS22" i="1"/>
  <c r="BW22" i="1" s="1"/>
  <c r="BT22" i="1"/>
  <c r="O26" i="1"/>
  <c r="BY26" i="1"/>
  <c r="AM35" i="1"/>
  <c r="AQ35" i="1" s="1"/>
  <c r="AQ30" i="1"/>
  <c r="AO30" i="1"/>
  <c r="BT31" i="1"/>
  <c r="BS31" i="1"/>
  <c r="CJ33" i="1"/>
  <c r="BY36" i="1"/>
  <c r="AM45" i="1"/>
  <c r="AQ42" i="1"/>
  <c r="N59" i="1"/>
  <c r="K61" i="1"/>
  <c r="BM59" i="1"/>
  <c r="AL61" i="1"/>
  <c r="BU65" i="1"/>
  <c r="O69" i="1"/>
  <c r="N69" i="1"/>
  <c r="BY70" i="1"/>
  <c r="AR73" i="1"/>
  <c r="Q73" i="1"/>
  <c r="BD73" i="1"/>
  <c r="BY73" i="1"/>
  <c r="AV73" i="1"/>
  <c r="CK73" i="1"/>
  <c r="Z73" i="1"/>
  <c r="R7" i="1"/>
  <c r="CL7" i="1"/>
  <c r="BN7" i="1"/>
  <c r="X10" i="1"/>
  <c r="BP10" i="1"/>
  <c r="I10" i="1"/>
  <c r="BG10" i="1"/>
  <c r="BJ10" i="1" s="1"/>
  <c r="AP10" i="1"/>
  <c r="BB14" i="1"/>
  <c r="BA14" i="1"/>
  <c r="BE14" i="1" s="1"/>
  <c r="AR22" i="1"/>
  <c r="Q22" i="1"/>
  <c r="CK22" i="1"/>
  <c r="H23" i="1"/>
  <c r="BY22" i="1"/>
  <c r="AI22" i="1"/>
  <c r="Z22" i="1"/>
  <c r="BT33" i="1"/>
  <c r="BS33" i="1"/>
  <c r="BW33" i="1" s="1"/>
  <c r="BV59" i="1"/>
  <c r="BY59" i="1"/>
  <c r="AQ63" i="1"/>
  <c r="P63" i="1"/>
  <c r="CJ63" i="1"/>
  <c r="BC63" i="1"/>
  <c r="BL63" i="1"/>
  <c r="Y63" i="1"/>
  <c r="BQ63" i="1"/>
  <c r="BU63" i="1" s="1"/>
  <c r="AH63" i="1"/>
  <c r="BE7" i="1"/>
  <c r="CC9" i="1"/>
  <c r="BY10" i="1"/>
  <c r="CH13" i="1"/>
  <c r="CL13" i="1" s="1"/>
  <c r="CH26" i="1"/>
  <c r="CL26" i="1" s="1"/>
  <c r="W36" i="1"/>
  <c r="Z63" i="1"/>
  <c r="AR63" i="1"/>
  <c r="CK63" i="1"/>
  <c r="BD63" i="1"/>
  <c r="AI63" i="1"/>
  <c r="BY63" i="1"/>
  <c r="Q63" i="1"/>
  <c r="AV63" i="1"/>
  <c r="CJ11" i="1"/>
  <c r="AH11" i="1"/>
  <c r="BQ11" i="1"/>
  <c r="BU11" i="1" s="1"/>
  <c r="CK11" i="1"/>
  <c r="CH11" i="1"/>
  <c r="BA66" i="1"/>
  <c r="BD66" i="1"/>
  <c r="CH14" i="1"/>
  <c r="CL14" i="1" s="1"/>
  <c r="U82" i="1"/>
  <c r="U28" i="1"/>
  <c r="BM34" i="1"/>
  <c r="AP34" i="1"/>
  <c r="BA36" i="1"/>
  <c r="BK11" i="1"/>
  <c r="AG22" i="1"/>
  <c r="BS26" i="1"/>
  <c r="BT26" i="1"/>
  <c r="AF30" i="1"/>
  <c r="AQ38" i="1"/>
  <c r="P38" i="1"/>
  <c r="CJ38" i="1"/>
  <c r="BQ38" i="1"/>
  <c r="BU38" i="1" s="1"/>
  <c r="Y38" i="1"/>
  <c r="BL38" i="1"/>
  <c r="AH65" i="1"/>
  <c r="BL65" i="1"/>
  <c r="BB9" i="1"/>
  <c r="BP9" i="1"/>
  <c r="X9" i="1"/>
  <c r="AG9" i="1"/>
  <c r="O9" i="1"/>
  <c r="BK9" i="1"/>
  <c r="BL11" i="1"/>
  <c r="AP12" i="1"/>
  <c r="BK31" i="1"/>
  <c r="BM32" i="1"/>
  <c r="AO32" i="1"/>
  <c r="N33" i="1"/>
  <c r="R33" i="1" s="1"/>
  <c r="O33" i="1"/>
  <c r="AG36" i="1"/>
  <c r="AH38" i="1"/>
  <c r="H39" i="1"/>
  <c r="BV44" i="1"/>
  <c r="AH30" i="1"/>
  <c r="M35" i="1"/>
  <c r="AI38" i="1"/>
  <c r="CN71" i="1"/>
  <c r="BE71" i="1"/>
  <c r="AS71" i="1"/>
  <c r="AA71" i="1"/>
  <c r="AJ71" i="1"/>
  <c r="CI8" i="1"/>
  <c r="BB8" i="1"/>
  <c r="R8" i="1"/>
  <c r="BP8" i="1"/>
  <c r="AG8" i="1"/>
  <c r="O8" i="1"/>
  <c r="AF11" i="1"/>
  <c r="N13" i="1"/>
  <c r="V35" i="1"/>
  <c r="V46" i="1" s="1"/>
  <c r="V83" i="1" s="1"/>
  <c r="W29" i="1"/>
  <c r="AR37" i="1"/>
  <c r="Q37" i="1"/>
  <c r="CK37" i="1"/>
  <c r="AV37" i="1"/>
  <c r="Z37" i="1"/>
  <c r="BD37" i="1"/>
  <c r="AI37" i="1"/>
  <c r="O71" i="1"/>
  <c r="N71" i="1"/>
  <c r="R71" i="1" s="1"/>
  <c r="R10" i="1"/>
  <c r="BL10" i="1"/>
  <c r="CI10" i="1"/>
  <c r="P11" i="1"/>
  <c r="CN14" i="1"/>
  <c r="AJ14" i="1"/>
  <c r="AR14" i="1"/>
  <c r="BV14" i="1"/>
  <c r="K23" i="1"/>
  <c r="AF26" i="1"/>
  <c r="AJ26" i="1" s="1"/>
  <c r="BR82" i="1"/>
  <c r="BV27" i="1"/>
  <c r="BV82" i="1" s="1"/>
  <c r="AC35" i="1"/>
  <c r="AZ35" i="1"/>
  <c r="AZ46" i="1" s="1"/>
  <c r="BY29" i="1"/>
  <c r="BP30" i="1"/>
  <c r="X30" i="1"/>
  <c r="I30" i="1"/>
  <c r="BG30" i="1"/>
  <c r="BJ30" i="1" s="1"/>
  <c r="BB30" i="1"/>
  <c r="AP30" i="1"/>
  <c r="CE35" i="1"/>
  <c r="CH32" i="1"/>
  <c r="CC36" i="1"/>
  <c r="AD46" i="1"/>
  <c r="AD83" i="1" s="1"/>
  <c r="AD84" i="1" s="1"/>
  <c r="AR57" i="1"/>
  <c r="BS59" i="1"/>
  <c r="BT59" i="1"/>
  <c r="X63" i="1"/>
  <c r="BM70" i="1"/>
  <c r="AO70" i="1"/>
  <c r="AP70" i="1"/>
  <c r="N72" i="1"/>
  <c r="CI75" i="1"/>
  <c r="CH75" i="1"/>
  <c r="CL75" i="1" s="1"/>
  <c r="AZ82" i="1"/>
  <c r="AZ28" i="1"/>
  <c r="BA31" i="1"/>
  <c r="AX35" i="1"/>
  <c r="BV18" i="1"/>
  <c r="BY18" i="1"/>
  <c r="BD22" i="1"/>
  <c r="CH31" i="1"/>
  <c r="CF35" i="1"/>
  <c r="AV33" i="1"/>
  <c r="BY33" i="1"/>
  <c r="AR33" i="1"/>
  <c r="Q33" i="1"/>
  <c r="CK33" i="1"/>
  <c r="AI33" i="1"/>
  <c r="BM8" i="1"/>
  <c r="AO12" i="1"/>
  <c r="CK19" i="1"/>
  <c r="Q55" i="1"/>
  <c r="CN75" i="1"/>
  <c r="BN75" i="1"/>
  <c r="AA75" i="1"/>
  <c r="BW75" i="1"/>
  <c r="AE82" i="1"/>
  <c r="AH31" i="1"/>
  <c r="CK31" i="1"/>
  <c r="BG37" i="1"/>
  <c r="BJ37" i="1" s="1"/>
  <c r="CI37" i="1"/>
  <c r="BP37" i="1"/>
  <c r="I37" i="1"/>
  <c r="AP37" i="1"/>
  <c r="BK37" i="1"/>
  <c r="BB37" i="1"/>
  <c r="AG37" i="1"/>
  <c r="O37" i="1"/>
  <c r="BY67" i="1"/>
  <c r="BV67" i="1"/>
  <c r="W7" i="1"/>
  <c r="AA7" i="1" s="1"/>
  <c r="CN7" i="1"/>
  <c r="BQ9" i="1"/>
  <c r="BU9" i="1" s="1"/>
  <c r="Y9" i="1"/>
  <c r="P9" i="1"/>
  <c r="BL9" i="1"/>
  <c r="AQ9" i="1"/>
  <c r="AP9" i="1"/>
  <c r="CJ9" i="1"/>
  <c r="O10" i="1"/>
  <c r="BB10" i="1"/>
  <c r="I12" i="1"/>
  <c r="BP12" i="1"/>
  <c r="O12" i="1"/>
  <c r="BK12" i="1"/>
  <c r="CI12" i="1"/>
  <c r="BD33" i="1"/>
  <c r="I38" i="1"/>
  <c r="Z65" i="1"/>
  <c r="CK65" i="1"/>
  <c r="AI65" i="1"/>
  <c r="BY65" i="1"/>
  <c r="BD65" i="1"/>
  <c r="Q65" i="1"/>
  <c r="AR65" i="1"/>
  <c r="AV65" i="1"/>
  <c r="AS7" i="1"/>
  <c r="Z9" i="1"/>
  <c r="AR9" i="1"/>
  <c r="AI10" i="1"/>
  <c r="CM47" i="1"/>
  <c r="CM82" i="1"/>
  <c r="CM84" i="1" s="1"/>
  <c r="AY39" i="1"/>
  <c r="BA39" i="1" s="1"/>
  <c r="BM65" i="1"/>
  <c r="CJ7" i="1"/>
  <c r="BC7" i="1"/>
  <c r="AH7" i="1"/>
  <c r="BQ7" i="1"/>
  <c r="BU7" i="1" s="1"/>
  <c r="P7" i="1"/>
  <c r="Z8" i="1"/>
  <c r="AI8" i="1"/>
  <c r="CK8" i="1"/>
  <c r="Q8" i="1"/>
  <c r="AV8" i="1"/>
  <c r="BY8" i="1"/>
  <c r="BD7" i="1"/>
  <c r="Z7" i="1"/>
  <c r="Q7" i="1"/>
  <c r="CK7" i="1"/>
  <c r="AV7" i="1"/>
  <c r="I8" i="1"/>
  <c r="BD8" i="1"/>
  <c r="W10" i="1"/>
  <c r="BC13" i="1"/>
  <c r="BA13" i="1"/>
  <c r="BE13" i="1" s="1"/>
  <c r="Z14" i="1"/>
  <c r="CE23" i="1"/>
  <c r="AQ22" i="1"/>
  <c r="P22" i="1"/>
  <c r="BC22" i="1"/>
  <c r="G23" i="1"/>
  <c r="AH22" i="1"/>
  <c r="Y22" i="1"/>
  <c r="AD35" i="1"/>
  <c r="AH29" i="1"/>
  <c r="BL29" i="1"/>
  <c r="BY30" i="1"/>
  <c r="BV30" i="1"/>
  <c r="BV35" i="1"/>
  <c r="BY38" i="1"/>
  <c r="AO42" i="1"/>
  <c r="Q59" i="1"/>
  <c r="M61" i="1"/>
  <c r="BT60" i="1"/>
  <c r="BS60" i="1"/>
  <c r="CC71" i="1"/>
  <c r="BU72" i="1"/>
  <c r="BS72" i="1"/>
  <c r="AI29" i="1"/>
  <c r="AV29" i="1"/>
  <c r="BG32" i="1"/>
  <c r="BJ32" i="1" s="1"/>
  <c r="AP32" i="1"/>
  <c r="BL34" i="1"/>
  <c r="W55" i="1"/>
  <c r="BQ10" i="1"/>
  <c r="BU10" i="1" s="1"/>
  <c r="Y10" i="1"/>
  <c r="V82" i="1"/>
  <c r="AI30" i="1"/>
  <c r="BP45" i="1"/>
  <c r="AG45" i="1"/>
  <c r="BG45" i="1"/>
  <c r="BJ45" i="1" s="1"/>
  <c r="BJ55" i="1"/>
  <c r="CG61" i="1"/>
  <c r="CH61" i="1" s="1"/>
  <c r="CK59" i="1"/>
  <c r="CH59" i="1"/>
  <c r="CL59" i="1" s="1"/>
  <c r="Z10" i="1"/>
  <c r="BD10" i="1"/>
  <c r="R11" i="1"/>
  <c r="F23" i="1"/>
  <c r="BM26" i="1"/>
  <c r="Z29" i="1"/>
  <c r="W31" i="1"/>
  <c r="AI32" i="1"/>
  <c r="BP32" i="1"/>
  <c r="CJ32" i="1"/>
  <c r="I34" i="1"/>
  <c r="BT34" i="1"/>
  <c r="BS34" i="1"/>
  <c r="BW34" i="1" s="1"/>
  <c r="CC42" i="1"/>
  <c r="AJ42" i="1"/>
  <c r="BN42" i="1"/>
  <c r="AS42" i="1"/>
  <c r="AA42" i="1"/>
  <c r="CL42" i="1"/>
  <c r="BP44" i="1"/>
  <c r="X44" i="1"/>
  <c r="I44" i="1"/>
  <c r="CC44" i="1" s="1"/>
  <c r="AG44" i="1"/>
  <c r="BK44" i="1"/>
  <c r="BG44" i="1"/>
  <c r="BJ44" i="1" s="1"/>
  <c r="BB44" i="1"/>
  <c r="AF59" i="1"/>
  <c r="AC61" i="1"/>
  <c r="AU81" i="1"/>
  <c r="AO67" i="1"/>
  <c r="AS67" i="1" s="1"/>
  <c r="BK32" i="1"/>
  <c r="L39" i="1"/>
  <c r="AF57" i="1"/>
  <c r="BK57" i="1"/>
  <c r="BC10" i="1"/>
  <c r="AI13" i="1"/>
  <c r="BB33" i="1"/>
  <c r="BA33" i="1"/>
  <c r="X6" i="1"/>
  <c r="K6" i="1"/>
  <c r="O6" i="1" s="1"/>
  <c r="Y6" i="1"/>
  <c r="L6" i="1"/>
  <c r="P6" i="1" s="1"/>
  <c r="BA8" i="1"/>
  <c r="W11" i="1"/>
  <c r="BK14" i="1"/>
  <c r="BB22" i="1"/>
  <c r="BN26" i="1"/>
  <c r="CC26" i="1"/>
  <c r="BB26" i="1"/>
  <c r="AR29" i="1"/>
  <c r="BK29" i="1"/>
  <c r="I31" i="1"/>
  <c r="CI31" i="1"/>
  <c r="BB31" i="1"/>
  <c r="X31" i="1"/>
  <c r="BG31" i="1"/>
  <c r="BJ31" i="1" s="1"/>
  <c r="I32" i="1"/>
  <c r="CC32" i="1" s="1"/>
  <c r="X32" i="1"/>
  <c r="P36" i="1"/>
  <c r="AL39" i="1"/>
  <c r="BM36" i="1"/>
  <c r="AO36" i="1"/>
  <c r="AO38" i="1"/>
  <c r="K45" i="1"/>
  <c r="O42" i="1"/>
  <c r="N42" i="1"/>
  <c r="R42" i="1" s="1"/>
  <c r="BL44" i="1"/>
  <c r="G45" i="1"/>
  <c r="P44" i="1"/>
  <c r="BC44" i="1"/>
  <c r="AF44" i="1"/>
  <c r="BA71" i="1"/>
  <c r="I29" i="1"/>
  <c r="CC29" i="1" s="1"/>
  <c r="BL32" i="1"/>
  <c r="AH32" i="1"/>
  <c r="AQ32" i="1"/>
  <c r="Y32" i="1"/>
  <c r="CI32" i="1"/>
  <c r="AV34" i="1"/>
  <c r="BY34" i="1"/>
  <c r="AR34" i="1"/>
  <c r="Q34" i="1"/>
  <c r="CK34" i="1"/>
  <c r="AI34" i="1"/>
  <c r="AQ10" i="1"/>
  <c r="BP11" i="1"/>
  <c r="X11" i="1"/>
  <c r="I11" i="1"/>
  <c r="BL14" i="1"/>
  <c r="BE19" i="1"/>
  <c r="CC19" i="1"/>
  <c r="BL26" i="1"/>
  <c r="CJ31" i="1"/>
  <c r="BC31" i="1"/>
  <c r="Y31" i="1"/>
  <c r="AP31" i="1"/>
  <c r="BY32" i="1"/>
  <c r="BV32" i="1"/>
  <c r="H35" i="1"/>
  <c r="T39" i="1"/>
  <c r="W39" i="1" s="1"/>
  <c r="AO37" i="1"/>
  <c r="BM37" i="1"/>
  <c r="AP38" i="1"/>
  <c r="O38" i="1"/>
  <c r="BB38" i="1"/>
  <c r="AG38" i="1"/>
  <c r="CI38" i="1"/>
  <c r="BP38" i="1"/>
  <c r="L45" i="1"/>
  <c r="CN42" i="1"/>
  <c r="AV44" i="1"/>
  <c r="Q44" i="1"/>
  <c r="BY44" i="1"/>
  <c r="AR44" i="1"/>
  <c r="BD44" i="1"/>
  <c r="BC59" i="1"/>
  <c r="CI64" i="1"/>
  <c r="BK64" i="1"/>
  <c r="AP64" i="1"/>
  <c r="AG64" i="1"/>
  <c r="O64" i="1"/>
  <c r="BG64" i="1"/>
  <c r="BJ64" i="1" s="1"/>
  <c r="BB64" i="1"/>
  <c r="I64" i="1"/>
  <c r="AF69" i="1"/>
  <c r="AJ69" i="1" s="1"/>
  <c r="BT69" i="1"/>
  <c r="BS74" i="1"/>
  <c r="BW74" i="1" s="1"/>
  <c r="BT74" i="1"/>
  <c r="BM76" i="1"/>
  <c r="AO76" i="1"/>
  <c r="N77" i="1"/>
  <c r="O77" i="1"/>
  <c r="BR83" i="1"/>
  <c r="AH12" i="1"/>
  <c r="AV12" i="1"/>
  <c r="AG13" i="1"/>
  <c r="R14" i="1"/>
  <c r="AG19" i="1"/>
  <c r="AH26" i="1"/>
  <c r="AV26" i="1"/>
  <c r="AU82" i="1"/>
  <c r="AR36" i="1"/>
  <c r="Q36" i="1"/>
  <c r="BD36" i="1"/>
  <c r="Y36" i="1"/>
  <c r="AN39" i="1"/>
  <c r="CE39" i="1"/>
  <c r="CH39" i="1" s="1"/>
  <c r="M45" i="1"/>
  <c r="M46" i="1" s="1"/>
  <c r="M83" i="1" s="1"/>
  <c r="BT55" i="1"/>
  <c r="AG55" i="1"/>
  <c r="AF55" i="1"/>
  <c r="BK55" i="1"/>
  <c r="BM57" i="1"/>
  <c r="AP57" i="1"/>
  <c r="AO57" i="1"/>
  <c r="F61" i="1"/>
  <c r="BK59" i="1"/>
  <c r="BG59" i="1"/>
  <c r="BJ59" i="1" s="1"/>
  <c r="BN59" i="1" s="1"/>
  <c r="CI59" i="1"/>
  <c r="BB59" i="1"/>
  <c r="AG59" i="1"/>
  <c r="O59" i="1"/>
  <c r="Q64" i="1"/>
  <c r="BY64" i="1"/>
  <c r="AR64" i="1"/>
  <c r="CK64" i="1"/>
  <c r="AV64" i="1"/>
  <c r="BD64" i="1"/>
  <c r="Z64" i="1"/>
  <c r="BM66" i="1"/>
  <c r="AH13" i="1"/>
  <c r="AG14" i="1"/>
  <c r="AH19" i="1"/>
  <c r="CA82" i="1"/>
  <c r="CA84" i="1" s="1"/>
  <c r="F35" i="1"/>
  <c r="T35" i="1"/>
  <c r="BK33" i="1"/>
  <c r="Z36" i="1"/>
  <c r="BL36" i="1"/>
  <c r="CG45" i="1"/>
  <c r="BL59" i="1"/>
  <c r="G61" i="1"/>
  <c r="P59" i="1"/>
  <c r="P61" i="1" s="1"/>
  <c r="AH59" i="1"/>
  <c r="AO68" i="1"/>
  <c r="CL74" i="1"/>
  <c r="AA74" i="1"/>
  <c r="CN74" i="1"/>
  <c r="BN74" i="1"/>
  <c r="AJ74" i="1"/>
  <c r="BM77" i="1"/>
  <c r="AF77" i="1"/>
  <c r="BW77" i="1" s="1"/>
  <c r="BV77" i="1"/>
  <c r="CE45" i="1"/>
  <c r="AH14" i="1"/>
  <c r="BQ29" i="1"/>
  <c r="Y29" i="1"/>
  <c r="BA29" i="1"/>
  <c r="BL33" i="1"/>
  <c r="BK34" i="1"/>
  <c r="AQ36" i="1"/>
  <c r="AX45" i="1"/>
  <c r="BR81" i="1"/>
  <c r="AA59" i="1"/>
  <c r="N60" i="1"/>
  <c r="AI64" i="1"/>
  <c r="AF65" i="1"/>
  <c r="BK65" i="1"/>
  <c r="W66" i="1"/>
  <c r="AO66" i="1"/>
  <c r="BA67" i="1"/>
  <c r="BE67" i="1" s="1"/>
  <c r="BC67" i="1"/>
  <c r="BG73" i="1"/>
  <c r="BJ73" i="1" s="1"/>
  <c r="AP73" i="1"/>
  <c r="O73" i="1"/>
  <c r="CI73" i="1"/>
  <c r="AG73" i="1"/>
  <c r="I73" i="1"/>
  <c r="CC73" i="1" s="1"/>
  <c r="BK73" i="1"/>
  <c r="BB73" i="1"/>
  <c r="X73" i="1"/>
  <c r="BP73" i="1"/>
  <c r="N74" i="1"/>
  <c r="R74" i="1" s="1"/>
  <c r="O74" i="1"/>
  <c r="AH77" i="1"/>
  <c r="BL77" i="1"/>
  <c r="P77" i="1"/>
  <c r="CJ77" i="1"/>
  <c r="Y77" i="1"/>
  <c r="AQ77" i="1"/>
  <c r="O78" i="1"/>
  <c r="BG33" i="1"/>
  <c r="BJ33" i="1" s="1"/>
  <c r="BG34" i="1"/>
  <c r="BJ34" i="1" s="1"/>
  <c r="AV55" i="1"/>
  <c r="BQ64" i="1"/>
  <c r="BU64" i="1" s="1"/>
  <c r="Y64" i="1"/>
  <c r="P64" i="1"/>
  <c r="AH64" i="1"/>
  <c r="AJ67" i="1"/>
  <c r="R67" i="1"/>
  <c r="AG33" i="1"/>
  <c r="AG34" i="1"/>
  <c r="T45" i="1"/>
  <c r="AG42" i="1"/>
  <c r="N55" i="1"/>
  <c r="CC57" i="1"/>
  <c r="BK69" i="1"/>
  <c r="BG70" i="1"/>
  <c r="BJ70" i="1" s="1"/>
  <c r="CI70" i="1"/>
  <c r="BP70" i="1"/>
  <c r="BK70" i="1"/>
  <c r="X70" i="1"/>
  <c r="I70" i="1"/>
  <c r="AP71" i="1"/>
  <c r="AO71" i="1"/>
  <c r="BM71" i="1"/>
  <c r="AP78" i="1"/>
  <c r="BK78" i="1"/>
  <c r="I78" i="1"/>
  <c r="CC78" i="1" s="1"/>
  <c r="BG78" i="1"/>
  <c r="BJ78" i="1" s="1"/>
  <c r="AG78" i="1"/>
  <c r="CI78" i="1"/>
  <c r="AH33" i="1"/>
  <c r="AH34" i="1"/>
  <c r="AF36" i="1"/>
  <c r="BL42" i="1"/>
  <c r="P55" i="1"/>
  <c r="BM55" i="1"/>
  <c r="AR59" i="1"/>
  <c r="AN61" i="1"/>
  <c r="BC64" i="1"/>
  <c r="BU68" i="1"/>
  <c r="AF70" i="1"/>
  <c r="BA70" i="1"/>
  <c r="BY72" i="1"/>
  <c r="CK72" i="1"/>
  <c r="BD72" i="1"/>
  <c r="AI72" i="1"/>
  <c r="CJ78" i="1"/>
  <c r="Y78" i="1"/>
  <c r="BL78" i="1"/>
  <c r="P78" i="1"/>
  <c r="AH78" i="1"/>
  <c r="BV78" i="1"/>
  <c r="AQ72" i="1"/>
  <c r="P72" i="1"/>
  <c r="CJ72" i="1"/>
  <c r="BC72" i="1"/>
  <c r="Y72" i="1"/>
  <c r="AF75" i="1"/>
  <c r="AJ75" i="1" s="1"/>
  <c r="BV75" i="1"/>
  <c r="AH42" i="1"/>
  <c r="AV42" i="1"/>
  <c r="H45" i="1"/>
  <c r="AU83" i="1"/>
  <c r="CM61" i="1"/>
  <c r="BM63" i="1"/>
  <c r="AO63" i="1"/>
  <c r="N65" i="1"/>
  <c r="Q67" i="1"/>
  <c r="BV68" i="1"/>
  <c r="I72" i="1"/>
  <c r="BA72" i="1"/>
  <c r="AI75" i="1"/>
  <c r="BA55" i="1"/>
  <c r="AF72" i="1"/>
  <c r="CC74" i="1"/>
  <c r="I55" i="1"/>
  <c r="AI55" i="1"/>
  <c r="CJ55" i="1"/>
  <c r="AG57" i="1"/>
  <c r="AD61" i="1"/>
  <c r="CC59" i="1"/>
  <c r="BL60" i="1"/>
  <c r="BQ66" i="1"/>
  <c r="BU66" i="1" s="1"/>
  <c r="Y66" i="1"/>
  <c r="CJ66" i="1"/>
  <c r="P66" i="1"/>
  <c r="BL66" i="1"/>
  <c r="I68" i="1"/>
  <c r="AV68" i="1"/>
  <c r="BY68" i="1"/>
  <c r="Z68" i="1"/>
  <c r="BL70" i="1"/>
  <c r="BK71" i="1"/>
  <c r="AO73" i="1"/>
  <c r="AP75" i="1"/>
  <c r="O75" i="1"/>
  <c r="BB75" i="1"/>
  <c r="AG75" i="1"/>
  <c r="X75" i="1"/>
  <c r="CK55" i="1"/>
  <c r="AV60" i="1"/>
  <c r="BY60" i="1"/>
  <c r="AR60" i="1"/>
  <c r="Q60" i="1"/>
  <c r="H61" i="1"/>
  <c r="BA64" i="1"/>
  <c r="AI66" i="1"/>
  <c r="AF66" i="1"/>
  <c r="BM67" i="1"/>
  <c r="BG74" i="1"/>
  <c r="BJ74" i="1" s="1"/>
  <c r="CI74" i="1"/>
  <c r="BB74" i="1"/>
  <c r="AP74" i="1"/>
  <c r="X74" i="1"/>
  <c r="AQ75" i="1"/>
  <c r="P75" i="1"/>
  <c r="CJ75" i="1"/>
  <c r="Y75" i="1"/>
  <c r="AV76" i="1"/>
  <c r="Q76" i="1"/>
  <c r="AR76" i="1"/>
  <c r="BY76" i="1"/>
  <c r="CK76" i="1"/>
  <c r="X55" i="1"/>
  <c r="AQ57" i="1"/>
  <c r="P57" i="1"/>
  <c r="I60" i="1"/>
  <c r="BD60" i="1"/>
  <c r="N66" i="1"/>
  <c r="BP67" i="1"/>
  <c r="X67" i="1"/>
  <c r="O67" i="1"/>
  <c r="BK67" i="1"/>
  <c r="BG67" i="1"/>
  <c r="BJ67" i="1" s="1"/>
  <c r="AP67" i="1"/>
  <c r="AV71" i="1"/>
  <c r="BY71" i="1"/>
  <c r="AR71" i="1"/>
  <c r="Q71" i="1"/>
  <c r="CK71" i="1"/>
  <c r="Z71" i="1"/>
  <c r="BY75" i="1"/>
  <c r="BD75" i="1"/>
  <c r="CK75" i="1"/>
  <c r="Z75" i="1"/>
  <c r="Q75" i="1"/>
  <c r="AV75" i="1"/>
  <c r="I76" i="1"/>
  <c r="AI76" i="1"/>
  <c r="BG60" i="1"/>
  <c r="BJ60" i="1" s="1"/>
  <c r="BL68" i="1"/>
  <c r="BC69" i="1"/>
  <c r="CC69" i="1"/>
  <c r="AF73" i="1"/>
  <c r="AO74" i="1"/>
  <c r="AS74" i="1" s="1"/>
  <c r="AG60" i="1"/>
  <c r="BB65" i="1"/>
  <c r="BP65" i="1"/>
  <c r="X65" i="1"/>
  <c r="I65" i="1"/>
  <c r="BN69" i="1"/>
  <c r="CN69" i="1"/>
  <c r="AS69" i="1"/>
  <c r="R69" i="1"/>
  <c r="BE69" i="1"/>
  <c r="AQ74" i="1"/>
  <c r="P74" i="1"/>
  <c r="BC74" i="1"/>
  <c r="BL74" i="1"/>
  <c r="BK76" i="1"/>
  <c r="AG76" i="1"/>
  <c r="BG76" i="1"/>
  <c r="BJ76" i="1" s="1"/>
  <c r="O76" i="1"/>
  <c r="X76" i="1"/>
  <c r="BM78" i="1"/>
  <c r="AH60" i="1"/>
  <c r="AI69" i="1"/>
  <c r="Y69" i="1"/>
  <c r="AQ69" i="1"/>
  <c r="AR74" i="1"/>
  <c r="Q74" i="1"/>
  <c r="CK74" i="1"/>
  <c r="Z74" i="1"/>
  <c r="Y74" i="1"/>
  <c r="BM74" i="1"/>
  <c r="BA75" i="1"/>
  <c r="BE75" i="1" s="1"/>
  <c r="BL76" i="1"/>
  <c r="AH76" i="1"/>
  <c r="AQ76" i="1"/>
  <c r="Y76" i="1"/>
  <c r="W78" i="1"/>
  <c r="AH67" i="1"/>
  <c r="AV67" i="1"/>
  <c r="AG68" i="1"/>
  <c r="Q70" i="1"/>
  <c r="AR70" i="1"/>
  <c r="AH68" i="1"/>
  <c r="AG69" i="1"/>
  <c r="BY69" i="1"/>
  <c r="BG71" i="1"/>
  <c r="BJ71" i="1" s="1"/>
  <c r="BN71" i="1" s="1"/>
  <c r="AI77" i="1"/>
  <c r="AH70" i="1"/>
  <c r="AV70" i="1"/>
  <c r="AG71" i="1"/>
  <c r="AO78" i="1"/>
  <c r="AH71" i="1"/>
  <c r="AG72" i="1"/>
  <c r="I77" i="1"/>
  <c r="CC77" i="1" s="1"/>
  <c r="Z78" i="1"/>
  <c r="U83" i="1" l="1"/>
  <c r="U47" i="1"/>
  <c r="CN19" i="1"/>
  <c r="AA19" i="1"/>
  <c r="R19" i="1"/>
  <c r="BK45" i="1"/>
  <c r="BQ35" i="1"/>
  <c r="BU35" i="1" s="1"/>
  <c r="AJ19" i="1"/>
  <c r="Y61" i="1"/>
  <c r="BN67" i="1"/>
  <c r="M47" i="1"/>
  <c r="M48" i="1" s="1"/>
  <c r="AN28" i="1"/>
  <c r="AM46" i="1"/>
  <c r="AM83" i="1" s="1"/>
  <c r="M84" i="1"/>
  <c r="BW60" i="1"/>
  <c r="AS59" i="1"/>
  <c r="BV45" i="1"/>
  <c r="AY46" i="1"/>
  <c r="AY83" i="1" s="1"/>
  <c r="AY84" i="1" s="1"/>
  <c r="AU84" i="1"/>
  <c r="AA67" i="1"/>
  <c r="AF35" i="1"/>
  <c r="N35" i="1"/>
  <c r="AH35" i="1"/>
  <c r="CJ35" i="1"/>
  <c r="W35" i="1"/>
  <c r="BW19" i="1"/>
  <c r="CL69" i="1"/>
  <c r="AA69" i="1"/>
  <c r="X61" i="1"/>
  <c r="R60" i="1"/>
  <c r="BE59" i="1"/>
  <c r="CL19" i="1"/>
  <c r="AA60" i="1"/>
  <c r="CC67" i="1"/>
  <c r="BW57" i="1"/>
  <c r="BL35" i="1"/>
  <c r="BW26" i="1"/>
  <c r="AS19" i="1"/>
  <c r="BS57" i="1"/>
  <c r="BT57" i="1"/>
  <c r="BE26" i="1"/>
  <c r="CN26" i="1"/>
  <c r="AA26" i="1"/>
  <c r="AZ83" i="1"/>
  <c r="AZ84" i="1" s="1"/>
  <c r="AZ47" i="1"/>
  <c r="G46" i="1"/>
  <c r="BL45" i="1"/>
  <c r="AQ45" i="1"/>
  <c r="BQ45" i="1"/>
  <c r="BU45" i="1" s="1"/>
  <c r="CJ45" i="1"/>
  <c r="AH45" i="1"/>
  <c r="BC45" i="1"/>
  <c r="P45" i="1"/>
  <c r="Y45" i="1"/>
  <c r="AO23" i="1"/>
  <c r="BK35" i="1"/>
  <c r="AG35" i="1"/>
  <c r="BB35" i="1"/>
  <c r="BG35" i="1"/>
  <c r="BJ35" i="1" s="1"/>
  <c r="X35" i="1"/>
  <c r="AP35" i="1"/>
  <c r="I35" i="1"/>
  <c r="CI35" i="1"/>
  <c r="BP35" i="1"/>
  <c r="O35" i="1"/>
  <c r="AS70" i="1"/>
  <c r="R70" i="1"/>
  <c r="CL70" i="1"/>
  <c r="AA70" i="1"/>
  <c r="BN70" i="1"/>
  <c r="AJ70" i="1"/>
  <c r="BE70" i="1"/>
  <c r="CN70" i="1"/>
  <c r="AM82" i="1"/>
  <c r="AM84" i="1" s="1"/>
  <c r="AM47" i="1"/>
  <c r="AM28" i="1"/>
  <c r="BN11" i="1"/>
  <c r="AJ11" i="1"/>
  <c r="CN11" i="1"/>
  <c r="CL11" i="1"/>
  <c r="AS11" i="1"/>
  <c r="BE11" i="1"/>
  <c r="AA11" i="1"/>
  <c r="CF46" i="1"/>
  <c r="AC46" i="1"/>
  <c r="AS36" i="1"/>
  <c r="R36" i="1"/>
  <c r="CL36" i="1"/>
  <c r="AA36" i="1"/>
  <c r="BE36" i="1"/>
  <c r="BN36" i="1"/>
  <c r="AJ36" i="1"/>
  <c r="CN36" i="1"/>
  <c r="BT9" i="1"/>
  <c r="BS9" i="1"/>
  <c r="BW9" i="1" s="1"/>
  <c r="BY61" i="1"/>
  <c r="CK61" i="1"/>
  <c r="BD61" i="1"/>
  <c r="AI61" i="1"/>
  <c r="AV61" i="1"/>
  <c r="BT70" i="1"/>
  <c r="BS70" i="1"/>
  <c r="BW70" i="1" s="1"/>
  <c r="CE46" i="1"/>
  <c r="CH45" i="1"/>
  <c r="V47" i="1"/>
  <c r="BR84" i="1"/>
  <c r="BN10" i="1"/>
  <c r="AJ10" i="1"/>
  <c r="CN10" i="1"/>
  <c r="BE10" i="1"/>
  <c r="AA10" i="1"/>
  <c r="CL10" i="1"/>
  <c r="CC10" i="1"/>
  <c r="AS10" i="1"/>
  <c r="BM45" i="1"/>
  <c r="AO45" i="1"/>
  <c r="AL46" i="1"/>
  <c r="AP45" i="1"/>
  <c r="AX27" i="1"/>
  <c r="BA23" i="1"/>
  <c r="W45" i="1"/>
  <c r="T46" i="1"/>
  <c r="AX46" i="1"/>
  <c r="BA45" i="1"/>
  <c r="BB45" i="1"/>
  <c r="R59" i="1"/>
  <c r="O61" i="1"/>
  <c r="R61" i="1" s="1"/>
  <c r="L46" i="1"/>
  <c r="BQ6" i="1"/>
  <c r="BU6" i="1" s="1"/>
  <c r="AD6" i="1"/>
  <c r="AH6" i="1"/>
  <c r="V84" i="1"/>
  <c r="CM48" i="1"/>
  <c r="CM81" i="1"/>
  <c r="CH35" i="1"/>
  <c r="BT10" i="1"/>
  <c r="BS10" i="1"/>
  <c r="BW10" i="1" s="1"/>
  <c r="AJ59" i="1"/>
  <c r="BE38" i="1"/>
  <c r="CL38" i="1"/>
  <c r="R38" i="1"/>
  <c r="AS38" i="1"/>
  <c r="BN38" i="1"/>
  <c r="CN38" i="1"/>
  <c r="AA38" i="1"/>
  <c r="AJ38" i="1"/>
  <c r="BN66" i="1"/>
  <c r="AJ66" i="1"/>
  <c r="AS66" i="1"/>
  <c r="CN66" i="1"/>
  <c r="AA66" i="1"/>
  <c r="R66" i="1"/>
  <c r="BE66" i="1"/>
  <c r="CL66" i="1"/>
  <c r="BP6" i="1"/>
  <c r="BT6" i="1" s="1"/>
  <c r="AG6" i="1"/>
  <c r="AC6" i="1"/>
  <c r="BS37" i="1"/>
  <c r="BW37" i="1" s="1"/>
  <c r="BT37" i="1"/>
  <c r="BT65" i="1"/>
  <c r="BS65" i="1"/>
  <c r="BW65" i="1" s="1"/>
  <c r="BM39" i="1"/>
  <c r="AO39" i="1"/>
  <c r="AF61" i="1"/>
  <c r="X45" i="1"/>
  <c r="AA8" i="1"/>
  <c r="CL8" i="1"/>
  <c r="BN8" i="1"/>
  <c r="AJ8" i="1"/>
  <c r="BE8" i="1"/>
  <c r="CN8" i="1"/>
  <c r="CC8" i="1"/>
  <c r="AS8" i="1"/>
  <c r="BN30" i="1"/>
  <c r="AJ30" i="1"/>
  <c r="CC30" i="1"/>
  <c r="BE30" i="1"/>
  <c r="AA30" i="1"/>
  <c r="CL30" i="1"/>
  <c r="CN30" i="1"/>
  <c r="AS30" i="1"/>
  <c r="R30" i="1"/>
  <c r="BM35" i="1"/>
  <c r="AO35" i="1"/>
  <c r="CC11" i="1"/>
  <c r="CC70" i="1"/>
  <c r="AF23" i="1"/>
  <c r="AC27" i="1"/>
  <c r="R77" i="1"/>
  <c r="CN77" i="1"/>
  <c r="CL77" i="1"/>
  <c r="AJ77" i="1"/>
  <c r="AS77" i="1"/>
  <c r="BN77" i="1"/>
  <c r="AA77" i="1"/>
  <c r="K27" i="1"/>
  <c r="N23" i="1"/>
  <c r="N39" i="1"/>
  <c r="BN78" i="1"/>
  <c r="R78" i="1"/>
  <c r="AJ78" i="1"/>
  <c r="AS78" i="1"/>
  <c r="AA78" i="1"/>
  <c r="CN78" i="1"/>
  <c r="CL78" i="1"/>
  <c r="CL37" i="1"/>
  <c r="BE37" i="1"/>
  <c r="AA37" i="1"/>
  <c r="BN37" i="1"/>
  <c r="AS37" i="1"/>
  <c r="CN37" i="1"/>
  <c r="AJ37" i="1"/>
  <c r="R37" i="1"/>
  <c r="AN47" i="1"/>
  <c r="BT73" i="1"/>
  <c r="BS73" i="1"/>
  <c r="BW73" i="1" s="1"/>
  <c r="BA35" i="1"/>
  <c r="BS8" i="1"/>
  <c r="BW8" i="1" s="1"/>
  <c r="BT8" i="1"/>
  <c r="CG46" i="1"/>
  <c r="F46" i="1"/>
  <c r="BG23" i="1"/>
  <c r="BJ23" i="1" s="1"/>
  <c r="F27" i="1"/>
  <c r="AP23" i="1"/>
  <c r="O23" i="1"/>
  <c r="X23" i="1"/>
  <c r="BK23" i="1"/>
  <c r="BP23" i="1"/>
  <c r="CI23" i="1"/>
  <c r="AG23" i="1"/>
  <c r="I23" i="1"/>
  <c r="BB23" i="1"/>
  <c r="CI45" i="1"/>
  <c r="BM61" i="1"/>
  <c r="AO61" i="1"/>
  <c r="BT7" i="1"/>
  <c r="BS7" i="1"/>
  <c r="BW7" i="1" s="1"/>
  <c r="BT36" i="1"/>
  <c r="BS36" i="1"/>
  <c r="BW36" i="1" s="1"/>
  <c r="BS63" i="1"/>
  <c r="BW63" i="1" s="1"/>
  <c r="BT63" i="1"/>
  <c r="AE83" i="1"/>
  <c r="AE84" i="1" s="1"/>
  <c r="BV46" i="1"/>
  <c r="BV83" i="1" s="1"/>
  <c r="BV84" i="1" s="1"/>
  <c r="BT67" i="1"/>
  <c r="BS67" i="1"/>
  <c r="BW67" i="1" s="1"/>
  <c r="AS61" i="1"/>
  <c r="BY35" i="1"/>
  <c r="CK35" i="1"/>
  <c r="BD35" i="1"/>
  <c r="Z35" i="1"/>
  <c r="AV35" i="1"/>
  <c r="AR35" i="1"/>
  <c r="Q35" i="1"/>
  <c r="AI35" i="1"/>
  <c r="CN34" i="1"/>
  <c r="CL34" i="1"/>
  <c r="AJ34" i="1"/>
  <c r="R34" i="1"/>
  <c r="AA34" i="1"/>
  <c r="AS34" i="1"/>
  <c r="BN34" i="1"/>
  <c r="CC34" i="1"/>
  <c r="BE34" i="1"/>
  <c r="AD47" i="1"/>
  <c r="H46" i="1"/>
  <c r="AI45" i="1"/>
  <c r="AR45" i="1"/>
  <c r="Z45" i="1"/>
  <c r="CK45" i="1"/>
  <c r="BD45" i="1"/>
  <c r="Q45" i="1"/>
  <c r="BY45" i="1"/>
  <c r="AV45" i="1"/>
  <c r="BW55" i="1"/>
  <c r="CN60" i="1"/>
  <c r="CL60" i="1"/>
  <c r="BE60" i="1"/>
  <c r="BN60" i="1"/>
  <c r="CC60" i="1"/>
  <c r="K46" i="1"/>
  <c r="N45" i="1"/>
  <c r="BN31" i="1"/>
  <c r="AJ31" i="1"/>
  <c r="CC31" i="1"/>
  <c r="BE31" i="1"/>
  <c r="R31" i="1"/>
  <c r="AS31" i="1"/>
  <c r="CL31" i="1"/>
  <c r="CN31" i="1"/>
  <c r="AA31" i="1"/>
  <c r="BT32" i="1"/>
  <c r="BS32" i="1"/>
  <c r="BW32" i="1" s="1"/>
  <c r="AR61" i="1"/>
  <c r="BT44" i="1"/>
  <c r="BS44" i="1"/>
  <c r="BW44" i="1" s="1"/>
  <c r="R76" i="1"/>
  <c r="CN76" i="1"/>
  <c r="BE76" i="1"/>
  <c r="AA76" i="1"/>
  <c r="AS76" i="1"/>
  <c r="CC76" i="1"/>
  <c r="AJ76" i="1"/>
  <c r="CL76" i="1"/>
  <c r="BN76" i="1"/>
  <c r="CN72" i="1"/>
  <c r="AS72" i="1"/>
  <c r="R72" i="1"/>
  <c r="BE72" i="1"/>
  <c r="CL72" i="1"/>
  <c r="BN72" i="1"/>
  <c r="CC72" i="1"/>
  <c r="AA72" i="1"/>
  <c r="AJ72" i="1"/>
  <c r="CC66" i="1"/>
  <c r="O45" i="1"/>
  <c r="H27" i="1"/>
  <c r="AR23" i="1"/>
  <c r="Q23" i="1"/>
  <c r="CK23" i="1"/>
  <c r="BD23" i="1"/>
  <c r="AI23" i="1"/>
  <c r="Z23" i="1"/>
  <c r="AV23" i="1"/>
  <c r="BY23" i="1"/>
  <c r="BW31" i="1"/>
  <c r="AJ60" i="1"/>
  <c r="BN68" i="1"/>
  <c r="AJ68" i="1"/>
  <c r="CN68" i="1"/>
  <c r="CC68" i="1"/>
  <c r="BE68" i="1"/>
  <c r="AS68" i="1"/>
  <c r="AA68" i="1"/>
  <c r="CL68" i="1"/>
  <c r="R68" i="1"/>
  <c r="BK61" i="1"/>
  <c r="AG61" i="1"/>
  <c r="I61" i="1"/>
  <c r="BG61" i="1"/>
  <c r="BJ61" i="1" s="1"/>
  <c r="BP61" i="1"/>
  <c r="BB61" i="1"/>
  <c r="CI61" i="1"/>
  <c r="AS64" i="1"/>
  <c r="BE64" i="1"/>
  <c r="CL64" i="1"/>
  <c r="AJ64" i="1"/>
  <c r="CC64" i="1"/>
  <c r="BN64" i="1"/>
  <c r="CN64" i="1"/>
  <c r="AA64" i="1"/>
  <c r="R64" i="1"/>
  <c r="Q61" i="1"/>
  <c r="G27" i="1"/>
  <c r="AQ23" i="1"/>
  <c r="P23" i="1"/>
  <c r="CJ23" i="1"/>
  <c r="Y23" i="1"/>
  <c r="BL23" i="1"/>
  <c r="AH23" i="1"/>
  <c r="BQ23" i="1"/>
  <c r="BU23" i="1" s="1"/>
  <c r="BC23" i="1"/>
  <c r="BT12" i="1"/>
  <c r="BS12" i="1"/>
  <c r="BW12" i="1" s="1"/>
  <c r="BW59" i="1"/>
  <c r="BT30" i="1"/>
  <c r="BS30" i="1"/>
  <c r="BW30" i="1" s="1"/>
  <c r="U84" i="1"/>
  <c r="BG39" i="1"/>
  <c r="BJ39" i="1" s="1"/>
  <c r="O39" i="1"/>
  <c r="AP39" i="1"/>
  <c r="AG39" i="1"/>
  <c r="BB39" i="1"/>
  <c r="BP39" i="1"/>
  <c r="BK39" i="1"/>
  <c r="X39" i="1"/>
  <c r="CI39" i="1"/>
  <c r="I39" i="1"/>
  <c r="BE57" i="1"/>
  <c r="BN57" i="1"/>
  <c r="AJ57" i="1"/>
  <c r="R57" i="1"/>
  <c r="CN57" i="1"/>
  <c r="AS57" i="1"/>
  <c r="AA57" i="1"/>
  <c r="CL57" i="1"/>
  <c r="CL63" i="1"/>
  <c r="BE63" i="1"/>
  <c r="AA63" i="1"/>
  <c r="BN63" i="1"/>
  <c r="R63" i="1"/>
  <c r="AS63" i="1"/>
  <c r="AJ63" i="1"/>
  <c r="CN63" i="1"/>
  <c r="CC37" i="1"/>
  <c r="AY47" i="1"/>
  <c r="I45" i="1"/>
  <c r="AE81" i="1"/>
  <c r="AE48" i="1"/>
  <c r="BV48" i="1" s="1"/>
  <c r="BS66" i="1"/>
  <c r="BW66" i="1" s="1"/>
  <c r="BT66" i="1"/>
  <c r="BT45" i="1"/>
  <c r="CH23" i="1"/>
  <c r="CE27" i="1"/>
  <c r="BT11" i="1"/>
  <c r="BS11" i="1"/>
  <c r="BW11" i="1" s="1"/>
  <c r="BN44" i="1"/>
  <c r="AJ44" i="1"/>
  <c r="CN44" i="1"/>
  <c r="BE44" i="1"/>
  <c r="R44" i="1"/>
  <c r="AA44" i="1"/>
  <c r="AS44" i="1"/>
  <c r="CL44" i="1"/>
  <c r="BN29" i="1"/>
  <c r="R29" i="1"/>
  <c r="AS29" i="1"/>
  <c r="AA29" i="1"/>
  <c r="BE29" i="1"/>
  <c r="CN29" i="1"/>
  <c r="CL29" i="1"/>
  <c r="AJ29" i="1"/>
  <c r="BW72" i="1"/>
  <c r="BT38" i="1"/>
  <c r="BS38" i="1"/>
  <c r="BW38" i="1" s="1"/>
  <c r="AM6" i="1"/>
  <c r="AY6" i="1" s="1"/>
  <c r="CF6" i="1" s="1"/>
  <c r="CJ6" i="1" s="1"/>
  <c r="AQ6" i="1"/>
  <c r="BC6" i="1" s="1"/>
  <c r="BN65" i="1"/>
  <c r="AJ65" i="1"/>
  <c r="CL65" i="1"/>
  <c r="R65" i="1"/>
  <c r="BE65" i="1"/>
  <c r="CN65" i="1"/>
  <c r="CC65" i="1"/>
  <c r="AS65" i="1"/>
  <c r="AA65" i="1"/>
  <c r="BL61" i="1"/>
  <c r="BQ61" i="1"/>
  <c r="BU61" i="1" s="1"/>
  <c r="CJ61" i="1"/>
  <c r="BC61" i="1"/>
  <c r="AH61" i="1"/>
  <c r="AL6" i="1"/>
  <c r="AX6" i="1" s="1"/>
  <c r="CE6" i="1" s="1"/>
  <c r="CI6" i="1" s="1"/>
  <c r="AP6" i="1"/>
  <c r="BB6" i="1" s="1"/>
  <c r="BN55" i="1"/>
  <c r="AJ55" i="1"/>
  <c r="CL55" i="1"/>
  <c r="CN55" i="1"/>
  <c r="AS55" i="1"/>
  <c r="AA55" i="1"/>
  <c r="CC55" i="1"/>
  <c r="R55" i="1"/>
  <c r="BE55" i="1"/>
  <c r="AS73" i="1"/>
  <c r="R73" i="1"/>
  <c r="CL73" i="1"/>
  <c r="AA73" i="1"/>
  <c r="CN73" i="1"/>
  <c r="BN73" i="1"/>
  <c r="AJ73" i="1"/>
  <c r="BE73" i="1"/>
  <c r="BS29" i="1"/>
  <c r="BW29" i="1" s="1"/>
  <c r="BU29" i="1"/>
  <c r="AA32" i="1"/>
  <c r="BE32" i="1"/>
  <c r="CN32" i="1"/>
  <c r="CL32" i="1"/>
  <c r="AS32" i="1"/>
  <c r="BN32" i="1"/>
  <c r="R32" i="1"/>
  <c r="AJ32" i="1"/>
  <c r="BN12" i="1"/>
  <c r="AJ12" i="1"/>
  <c r="CC12" i="1"/>
  <c r="AA12" i="1"/>
  <c r="AS12" i="1"/>
  <c r="CL12" i="1"/>
  <c r="BE12" i="1"/>
  <c r="CN12" i="1"/>
  <c r="AI39" i="1"/>
  <c r="BD39" i="1"/>
  <c r="Q39" i="1"/>
  <c r="BY39" i="1"/>
  <c r="CK39" i="1"/>
  <c r="Z39" i="1"/>
  <c r="AV39" i="1"/>
  <c r="AR39" i="1"/>
  <c r="U81" i="1"/>
  <c r="U48" i="1"/>
  <c r="N61" i="1"/>
  <c r="AQ39" i="1"/>
  <c r="BC39" i="1"/>
  <c r="Y39" i="1"/>
  <c r="P39" i="1"/>
  <c r="AH39" i="1"/>
  <c r="CJ39" i="1"/>
  <c r="BL39" i="1"/>
  <c r="BQ39" i="1"/>
  <c r="BU39" i="1" s="1"/>
  <c r="T47" i="1"/>
  <c r="T82" i="1"/>
  <c r="T28" i="1"/>
  <c r="W27" i="1"/>
  <c r="AL82" i="1"/>
  <c r="BM27" i="1"/>
  <c r="BM82" i="1" s="1"/>
  <c r="AO27" i="1"/>
  <c r="AL28" i="1"/>
  <c r="BM28" i="1" s="1"/>
  <c r="CC38" i="1"/>
  <c r="M81" i="1" l="1"/>
  <c r="AA61" i="1"/>
  <c r="AM81" i="1"/>
  <c r="AM48" i="1"/>
  <c r="BM46" i="1"/>
  <c r="BM83" i="1" s="1"/>
  <c r="BM84" i="1" s="1"/>
  <c r="AO46" i="1"/>
  <c r="AO83" i="1" s="1"/>
  <c r="AL83" i="1"/>
  <c r="AL84" i="1" s="1"/>
  <c r="K82" i="1"/>
  <c r="K47" i="1"/>
  <c r="K28" i="1"/>
  <c r="N27" i="1"/>
  <c r="CE83" i="1"/>
  <c r="CH46" i="1"/>
  <c r="CH83" i="1" s="1"/>
  <c r="AZ81" i="1"/>
  <c r="AZ48" i="1"/>
  <c r="AN81" i="1"/>
  <c r="AN48" i="1"/>
  <c r="AC83" i="1"/>
  <c r="AF46" i="1"/>
  <c r="AF83" i="1" s="1"/>
  <c r="CL23" i="1"/>
  <c r="BE23" i="1"/>
  <c r="AS23" i="1"/>
  <c r="AA23" i="1"/>
  <c r="BN23" i="1"/>
  <c r="CN23" i="1"/>
  <c r="R23" i="1"/>
  <c r="AJ23" i="1"/>
  <c r="CC23" i="1"/>
  <c r="AL47" i="1"/>
  <c r="BT23" i="1"/>
  <c r="BS23" i="1"/>
  <c r="BW23" i="1" s="1"/>
  <c r="CN35" i="1"/>
  <c r="AS35" i="1"/>
  <c r="R35" i="1"/>
  <c r="BE35" i="1"/>
  <c r="AJ35" i="1"/>
  <c r="AA35" i="1"/>
  <c r="CL35" i="1"/>
  <c r="BN35" i="1"/>
  <c r="CC35" i="1"/>
  <c r="CE47" i="1"/>
  <c r="CE82" i="1"/>
  <c r="CE28" i="1"/>
  <c r="CH27" i="1"/>
  <c r="AO28" i="1"/>
  <c r="AO82" i="1"/>
  <c r="CG83" i="1"/>
  <c r="CG84" i="1" s="1"/>
  <c r="CG47" i="1"/>
  <c r="AC82" i="1"/>
  <c r="AC47" i="1"/>
  <c r="AC28" i="1"/>
  <c r="AF27" i="1"/>
  <c r="CF83" i="1"/>
  <c r="CF84" i="1" s="1"/>
  <c r="CF47" i="1"/>
  <c r="CN39" i="1"/>
  <c r="BE39" i="1"/>
  <c r="AA39" i="1"/>
  <c r="CL39" i="1"/>
  <c r="AJ39" i="1"/>
  <c r="R39" i="1"/>
  <c r="BN39" i="1"/>
  <c r="AS39" i="1"/>
  <c r="CC39" i="1"/>
  <c r="AD81" i="1"/>
  <c r="AD48" i="1"/>
  <c r="L83" i="1"/>
  <c r="L84" i="1" s="1"/>
  <c r="L47" i="1"/>
  <c r="G47" i="1"/>
  <c r="G82" i="1"/>
  <c r="G28" i="1"/>
  <c r="BL27" i="1"/>
  <c r="BL82" i="1" s="1"/>
  <c r="AH27" i="1"/>
  <c r="AH82" i="1" s="1"/>
  <c r="BC27" i="1"/>
  <c r="BC82" i="1" s="1"/>
  <c r="CJ27" i="1"/>
  <c r="CJ82" i="1" s="1"/>
  <c r="CJ84" i="1" s="1"/>
  <c r="AQ27" i="1"/>
  <c r="AQ82" i="1" s="1"/>
  <c r="AQ84" i="1" s="1"/>
  <c r="P27" i="1"/>
  <c r="P82" i="1" s="1"/>
  <c r="BQ27" i="1"/>
  <c r="Y27" i="1"/>
  <c r="Y82" i="1" s="1"/>
  <c r="W82" i="1"/>
  <c r="W84" i="1" s="1"/>
  <c r="W28" i="1"/>
  <c r="AJ45" i="1"/>
  <c r="BN45" i="1"/>
  <c r="AA45" i="1"/>
  <c r="BE45" i="1"/>
  <c r="CL45" i="1"/>
  <c r="R45" i="1"/>
  <c r="AS45" i="1"/>
  <c r="CN45" i="1"/>
  <c r="CC45" i="1"/>
  <c r="AJ61" i="1"/>
  <c r="H82" i="1"/>
  <c r="H47" i="1"/>
  <c r="AI27" i="1"/>
  <c r="AI82" i="1" s="1"/>
  <c r="AV27" i="1"/>
  <c r="AV82" i="1" s="1"/>
  <c r="BY27" i="1"/>
  <c r="BY82" i="1" s="1"/>
  <c r="BD27" i="1"/>
  <c r="BD82" i="1" s="1"/>
  <c r="Q27" i="1"/>
  <c r="Q82" i="1" s="1"/>
  <c r="H28" i="1"/>
  <c r="AR27" i="1"/>
  <c r="AR82" i="1" s="1"/>
  <c r="AR84" i="1" s="1"/>
  <c r="Z27" i="1"/>
  <c r="Z82" i="1" s="1"/>
  <c r="CK27" i="1"/>
  <c r="CK82" i="1" s="1"/>
  <c r="AX83" i="1"/>
  <c r="BA46" i="1"/>
  <c r="BA83" i="1" s="1"/>
  <c r="K83" i="1"/>
  <c r="N46" i="1"/>
  <c r="N83" i="1" s="1"/>
  <c r="F82" i="1"/>
  <c r="F47" i="1"/>
  <c r="F28" i="1"/>
  <c r="BK27" i="1"/>
  <c r="BK82" i="1" s="1"/>
  <c r="AG27" i="1"/>
  <c r="AG82" i="1" s="1"/>
  <c r="X27" i="1"/>
  <c r="X82" i="1" s="1"/>
  <c r="BB27" i="1"/>
  <c r="BB82" i="1" s="1"/>
  <c r="O27" i="1"/>
  <c r="O82" i="1" s="1"/>
  <c r="BP27" i="1"/>
  <c r="AP27" i="1"/>
  <c r="AP82" i="1" s="1"/>
  <c r="CI27" i="1"/>
  <c r="CI82" i="1" s="1"/>
  <c r="I27" i="1"/>
  <c r="BG27" i="1"/>
  <c r="I46" i="1"/>
  <c r="F83" i="1"/>
  <c r="BP46" i="1"/>
  <c r="AP46" i="1"/>
  <c r="AP83" i="1" s="1"/>
  <c r="CI46" i="1"/>
  <c r="CI83" i="1" s="1"/>
  <c r="BK46" i="1"/>
  <c r="BK83" i="1" s="1"/>
  <c r="AG46" i="1"/>
  <c r="AG83" i="1" s="1"/>
  <c r="BG46" i="1"/>
  <c r="BB46" i="1"/>
  <c r="BB83" i="1" s="1"/>
  <c r="X46" i="1"/>
  <c r="X83" i="1" s="1"/>
  <c r="O46" i="1"/>
  <c r="O83" i="1" s="1"/>
  <c r="AX82" i="1"/>
  <c r="AX47" i="1"/>
  <c r="BA27" i="1"/>
  <c r="AX28" i="1"/>
  <c r="BS45" i="1"/>
  <c r="BW45" i="1" s="1"/>
  <c r="H83" i="1"/>
  <c r="AI46" i="1"/>
  <c r="AI83" i="1" s="1"/>
  <c r="AV46" i="1"/>
  <c r="AV83" i="1" s="1"/>
  <c r="CK46" i="1"/>
  <c r="CK83" i="1" s="1"/>
  <c r="AR46" i="1"/>
  <c r="AR83" i="1" s="1"/>
  <c r="BD46" i="1"/>
  <c r="BD83" i="1" s="1"/>
  <c r="Z46" i="1"/>
  <c r="Z83" i="1" s="1"/>
  <c r="Q46" i="1"/>
  <c r="Q83" i="1" s="1"/>
  <c r="BY46" i="1"/>
  <c r="BY83" i="1" s="1"/>
  <c r="V48" i="1"/>
  <c r="V81" i="1"/>
  <c r="G83" i="1"/>
  <c r="BL46" i="1"/>
  <c r="BL83" i="1" s="1"/>
  <c r="AH46" i="1"/>
  <c r="AH83" i="1" s="1"/>
  <c r="CJ46" i="1"/>
  <c r="CJ83" i="1" s="1"/>
  <c r="AQ46" i="1"/>
  <c r="AQ83" i="1" s="1"/>
  <c r="BQ46" i="1"/>
  <c r="P46" i="1"/>
  <c r="P83" i="1" s="1"/>
  <c r="BC46" i="1"/>
  <c r="BC83" i="1" s="1"/>
  <c r="Y46" i="1"/>
  <c r="Y83" i="1" s="1"/>
  <c r="BT61" i="1"/>
  <c r="BS61" i="1"/>
  <c r="BW61" i="1" s="1"/>
  <c r="BT39" i="1"/>
  <c r="BS39" i="1"/>
  <c r="BW39" i="1" s="1"/>
  <c r="CN61" i="1"/>
  <c r="BE61" i="1"/>
  <c r="BN61" i="1"/>
  <c r="CL61" i="1"/>
  <c r="CC61" i="1"/>
  <c r="T81" i="1"/>
  <c r="T48" i="1"/>
  <c r="W47" i="1"/>
  <c r="AY81" i="1"/>
  <c r="AY48" i="1"/>
  <c r="W46" i="1"/>
  <c r="W83" i="1" s="1"/>
  <c r="T83" i="1"/>
  <c r="T84" i="1" s="1"/>
  <c r="BT35" i="1"/>
  <c r="BS35" i="1"/>
  <c r="BW35" i="1" s="1"/>
  <c r="Y84" i="1" l="1"/>
  <c r="CE84" i="1"/>
  <c r="O84" i="1"/>
  <c r="CK84" i="1"/>
  <c r="K84" i="1"/>
  <c r="BB84" i="1"/>
  <c r="Z84" i="1"/>
  <c r="P84" i="1"/>
  <c r="X84" i="1"/>
  <c r="CF48" i="1"/>
  <c r="CF81" i="1"/>
  <c r="BK84" i="1"/>
  <c r="W81" i="1"/>
  <c r="W48" i="1"/>
  <c r="BA82" i="1"/>
  <c r="BA84" i="1" s="1"/>
  <c r="BA28" i="1"/>
  <c r="BK28" i="1"/>
  <c r="AG28" i="1"/>
  <c r="BG28" i="1"/>
  <c r="AP28" i="1"/>
  <c r="X28" i="1"/>
  <c r="BP28" i="1"/>
  <c r="BT28" i="1" s="1"/>
  <c r="CI28" i="1"/>
  <c r="O28" i="1"/>
  <c r="BB28" i="1"/>
  <c r="Q84" i="1"/>
  <c r="BM47" i="1"/>
  <c r="BM81" i="1" s="1"/>
  <c r="AL48" i="1"/>
  <c r="BM48" i="1" s="1"/>
  <c r="AO47" i="1"/>
  <c r="AL81" i="1"/>
  <c r="AX81" i="1"/>
  <c r="BA47" i="1"/>
  <c r="AX48" i="1"/>
  <c r="I83" i="1"/>
  <c r="AJ46" i="1"/>
  <c r="AJ83" i="1" s="1"/>
  <c r="CC46" i="1"/>
  <c r="CC83" i="1" s="1"/>
  <c r="AA46" i="1"/>
  <c r="AA83" i="1" s="1"/>
  <c r="CN46" i="1"/>
  <c r="CN83" i="1" s="1"/>
  <c r="R46" i="1"/>
  <c r="R83" i="1" s="1"/>
  <c r="CL46" i="1"/>
  <c r="CL83" i="1" s="1"/>
  <c r="BE46" i="1"/>
  <c r="BE83" i="1" s="1"/>
  <c r="AS46" i="1"/>
  <c r="AS83" i="1" s="1"/>
  <c r="F81" i="1"/>
  <c r="F48" i="1"/>
  <c r="BK47" i="1"/>
  <c r="BK81" i="1" s="1"/>
  <c r="AG47" i="1"/>
  <c r="AG81" i="1" s="1"/>
  <c r="BB47" i="1"/>
  <c r="BB81" i="1" s="1"/>
  <c r="O47" i="1"/>
  <c r="O81" i="1" s="1"/>
  <c r="I47" i="1"/>
  <c r="BP47" i="1"/>
  <c r="BG47" i="1"/>
  <c r="CI47" i="1"/>
  <c r="CI81" i="1" s="1"/>
  <c r="X47" i="1"/>
  <c r="X81" i="1" s="1"/>
  <c r="AP47" i="1"/>
  <c r="AP81" i="1" s="1"/>
  <c r="BD84" i="1"/>
  <c r="AC81" i="1"/>
  <c r="AF47" i="1"/>
  <c r="AC48" i="1"/>
  <c r="G81" i="1"/>
  <c r="G48" i="1"/>
  <c r="BL47" i="1"/>
  <c r="BL81" i="1" s="1"/>
  <c r="AH47" i="1"/>
  <c r="AH81" i="1" s="1"/>
  <c r="BC47" i="1"/>
  <c r="BC81" i="1" s="1"/>
  <c r="Y47" i="1"/>
  <c r="Y81" i="1" s="1"/>
  <c r="BQ47" i="1"/>
  <c r="CJ47" i="1"/>
  <c r="CJ81" i="1" s="1"/>
  <c r="AQ47" i="1"/>
  <c r="AQ81" i="1" s="1"/>
  <c r="P47" i="1"/>
  <c r="P81" i="1" s="1"/>
  <c r="K81" i="1"/>
  <c r="K48" i="1"/>
  <c r="N47" i="1"/>
  <c r="BP83" i="1"/>
  <c r="BS46" i="1"/>
  <c r="BT46" i="1"/>
  <c r="BT83" i="1" s="1"/>
  <c r="F84" i="1"/>
  <c r="AV84" i="1"/>
  <c r="BQ83" i="1"/>
  <c r="BU46" i="1"/>
  <c r="BU83" i="1" s="1"/>
  <c r="CI84" i="1"/>
  <c r="BL84" i="1"/>
  <c r="AG84" i="1"/>
  <c r="BQ82" i="1"/>
  <c r="BU27" i="1"/>
  <c r="BU82" i="1" s="1"/>
  <c r="CE81" i="1"/>
  <c r="CE48" i="1"/>
  <c r="CH47" i="1"/>
  <c r="AF82" i="1"/>
  <c r="AF84" i="1" s="1"/>
  <c r="AF28" i="1"/>
  <c r="BY87" i="1"/>
  <c r="BY84" i="1"/>
  <c r="AC84" i="1"/>
  <c r="I82" i="1"/>
  <c r="CN27" i="1"/>
  <c r="CN82" i="1" s="1"/>
  <c r="BE27" i="1"/>
  <c r="BE82" i="1" s="1"/>
  <c r="I28" i="1"/>
  <c r="R27" i="1"/>
  <c r="R82" i="1" s="1"/>
  <c r="AJ27" i="1"/>
  <c r="AJ82" i="1" s="1"/>
  <c r="CL27" i="1"/>
  <c r="CL82" i="1" s="1"/>
  <c r="AA27" i="1"/>
  <c r="AA82" i="1" s="1"/>
  <c r="AA84" i="1" s="1"/>
  <c r="AS27" i="1"/>
  <c r="AS82" i="1" s="1"/>
  <c r="CC27" i="1"/>
  <c r="CC82" i="1" s="1"/>
  <c r="AH84" i="1"/>
  <c r="CG81" i="1"/>
  <c r="CG48" i="1"/>
  <c r="AP84" i="1"/>
  <c r="H81" i="1"/>
  <c r="AI47" i="1"/>
  <c r="AI81" i="1" s="1"/>
  <c r="AV47" i="1"/>
  <c r="AV81" i="1" s="1"/>
  <c r="BY47" i="1"/>
  <c r="BY81" i="1" s="1"/>
  <c r="H48" i="1"/>
  <c r="Q47" i="1"/>
  <c r="Q81" i="1" s="1"/>
  <c r="CK47" i="1"/>
  <c r="CK81" i="1" s="1"/>
  <c r="AR47" i="1"/>
  <c r="AR81" i="1" s="1"/>
  <c r="BD47" i="1"/>
  <c r="BD81" i="1" s="1"/>
  <c r="Z47" i="1"/>
  <c r="Z81" i="1" s="1"/>
  <c r="BL28" i="1"/>
  <c r="AH28" i="1"/>
  <c r="AQ28" i="1"/>
  <c r="Y28" i="1"/>
  <c r="BQ28" i="1"/>
  <c r="BU28" i="1" s="1"/>
  <c r="BC28" i="1"/>
  <c r="CJ28" i="1"/>
  <c r="P28" i="1"/>
  <c r="AO84" i="1"/>
  <c r="CH28" i="1"/>
  <c r="CH82" i="1"/>
  <c r="CH84" i="1" s="1"/>
  <c r="L81" i="1"/>
  <c r="L48" i="1"/>
  <c r="AV28" i="1"/>
  <c r="BY28" i="1"/>
  <c r="AR28" i="1"/>
  <c r="Z28" i="1"/>
  <c r="BD28" i="1"/>
  <c r="AI28" i="1"/>
  <c r="CK28" i="1"/>
  <c r="Q28" i="1"/>
  <c r="AX84" i="1"/>
  <c r="BG82" i="1"/>
  <c r="BJ27" i="1"/>
  <c r="BC84" i="1"/>
  <c r="AI84" i="1"/>
  <c r="BG83" i="1"/>
  <c r="BJ46" i="1"/>
  <c r="BJ83" i="1" s="1"/>
  <c r="BP82" i="1"/>
  <c r="BP84" i="1" s="1"/>
  <c r="BS27" i="1"/>
  <c r="BT27" i="1"/>
  <c r="BT82" i="1" s="1"/>
  <c r="BT84" i="1" s="1"/>
  <c r="H84" i="1"/>
  <c r="G84" i="1"/>
  <c r="N82" i="1"/>
  <c r="N84" i="1" s="1"/>
  <c r="N28" i="1"/>
  <c r="BG84" i="1" l="1"/>
  <c r="I84" i="1"/>
  <c r="AJ84" i="1"/>
  <c r="BJ82" i="1"/>
  <c r="BJ84" i="1" s="1"/>
  <c r="BJ28" i="1"/>
  <c r="BA81" i="1"/>
  <c r="BA48" i="1"/>
  <c r="BQ81" i="1"/>
  <c r="BU47" i="1"/>
  <c r="BU81" i="1" s="1"/>
  <c r="BP81" i="1"/>
  <c r="BS47" i="1"/>
  <c r="BT47" i="1"/>
  <c r="BT81" i="1" s="1"/>
  <c r="BS83" i="1"/>
  <c r="BW46" i="1"/>
  <c r="BW83" i="1" s="1"/>
  <c r="I81" i="1"/>
  <c r="CN47" i="1"/>
  <c r="CN81" i="1" s="1"/>
  <c r="R47" i="1"/>
  <c r="R81" i="1" s="1"/>
  <c r="AA47" i="1"/>
  <c r="AA81" i="1" s="1"/>
  <c r="AS47" i="1"/>
  <c r="AS81" i="1" s="1"/>
  <c r="I48" i="1"/>
  <c r="AJ47" i="1"/>
  <c r="AJ81" i="1" s="1"/>
  <c r="BE47" i="1"/>
  <c r="BE81" i="1" s="1"/>
  <c r="CL47" i="1"/>
  <c r="CL81" i="1" s="1"/>
  <c r="CC47" i="1"/>
  <c r="CC81" i="1" s="1"/>
  <c r="AS84" i="1"/>
  <c r="BN27" i="1"/>
  <c r="BN82" i="1" s="1"/>
  <c r="R84" i="1"/>
  <c r="BL48" i="1"/>
  <c r="AH48" i="1"/>
  <c r="Y48" i="1"/>
  <c r="BC48" i="1"/>
  <c r="CJ48" i="1"/>
  <c r="P48" i="1"/>
  <c r="AQ48" i="1"/>
  <c r="BQ48" i="1"/>
  <c r="BU48" i="1" s="1"/>
  <c r="CC87" i="1"/>
  <c r="CC84" i="1"/>
  <c r="CL84" i="1"/>
  <c r="N48" i="1"/>
  <c r="N81" i="1"/>
  <c r="BK48" i="1"/>
  <c r="AG48" i="1"/>
  <c r="BG48" i="1"/>
  <c r="AP48" i="1"/>
  <c r="X48" i="1"/>
  <c r="BP48" i="1"/>
  <c r="BT48" i="1" s="1"/>
  <c r="O48" i="1"/>
  <c r="BB48" i="1"/>
  <c r="CI48" i="1"/>
  <c r="AO81" i="1"/>
  <c r="AO48" i="1"/>
  <c r="AV48" i="1"/>
  <c r="BY48" i="1"/>
  <c r="CK48" i="1"/>
  <c r="BD48" i="1"/>
  <c r="AI48" i="1"/>
  <c r="AR48" i="1"/>
  <c r="Q48" i="1"/>
  <c r="Z48" i="1"/>
  <c r="BG81" i="1"/>
  <c r="BJ47" i="1"/>
  <c r="BS82" i="1"/>
  <c r="BS84" i="1" s="1"/>
  <c r="BW27" i="1"/>
  <c r="BW82" i="1" s="1"/>
  <c r="BS28" i="1"/>
  <c r="BW28" i="1" s="1"/>
  <c r="CN28" i="1"/>
  <c r="AS28" i="1"/>
  <c r="R28" i="1"/>
  <c r="BN28" i="1"/>
  <c r="AA28" i="1"/>
  <c r="CC28" i="1"/>
  <c r="BE28" i="1"/>
  <c r="CL28" i="1"/>
  <c r="AJ28" i="1"/>
  <c r="BQ84" i="1"/>
  <c r="BN46" i="1"/>
  <c r="BN83" i="1" s="1"/>
  <c r="CH81" i="1"/>
  <c r="CH48" i="1"/>
  <c r="BU84" i="1"/>
  <c r="BE84" i="1"/>
  <c r="CN84" i="1"/>
  <c r="AF81" i="1"/>
  <c r="AF48" i="1"/>
  <c r="BN84" i="1" l="1"/>
  <c r="CN48" i="1"/>
  <c r="AS48" i="1"/>
  <c r="R48" i="1"/>
  <c r="CC48" i="1"/>
  <c r="BE48" i="1"/>
  <c r="AA48" i="1"/>
  <c r="CL48" i="1"/>
  <c r="AJ48" i="1"/>
  <c r="BJ48" i="1"/>
  <c r="BN48" i="1" s="1"/>
  <c r="BJ81" i="1"/>
  <c r="BS81" i="1"/>
  <c r="BW47" i="1"/>
  <c r="BW81" i="1" s="1"/>
  <c r="BS48" i="1"/>
  <c r="BW48" i="1" s="1"/>
  <c r="BN47" i="1"/>
  <c r="BN81" i="1" s="1"/>
  <c r="BW84" i="1"/>
</calcChain>
</file>

<file path=xl/sharedStrings.xml><?xml version="1.0" encoding="utf-8"?>
<sst xmlns="http://schemas.openxmlformats.org/spreadsheetml/2006/main" count="118" uniqueCount="111">
  <si>
    <t>Feb</t>
  </si>
  <si>
    <t>Select Month</t>
  </si>
  <si>
    <t>Actual</t>
  </si>
  <si>
    <t>BP</t>
  </si>
  <si>
    <t>Act vs BP</t>
  </si>
  <si>
    <t>FC 2+10</t>
  </si>
  <si>
    <t>Act vs FC2+10</t>
  </si>
  <si>
    <t>OL (1+2)</t>
  </si>
  <si>
    <t>Act vs OL</t>
  </si>
  <si>
    <t>LY</t>
  </si>
  <si>
    <t>Act vs LY</t>
  </si>
  <si>
    <t>Previous month</t>
  </si>
  <si>
    <t>MoM
M09 vs M08</t>
  </si>
  <si>
    <t>FC 5+7</t>
  </si>
  <si>
    <t>Act vs FC 5+7</t>
  </si>
  <si>
    <t>Act vs OL (0+3)</t>
  </si>
  <si>
    <t>OL (2+1)</t>
  </si>
  <si>
    <t>OL(2+1)vs OL (0+3)</t>
  </si>
  <si>
    <t>Jun MTD vs OL(2+1)</t>
  </si>
  <si>
    <t>Q2 FC 2+10</t>
  </si>
  <si>
    <t>Q2(2+10) vs Jun FY25 Q1</t>
  </si>
  <si>
    <t>FC 7+5</t>
  </si>
  <si>
    <t>Act vs FC 7+5</t>
  </si>
  <si>
    <t>7+5 Q4</t>
  </si>
  <si>
    <t>Q3 Actual vs 7+5 Q4</t>
  </si>
  <si>
    <t>Q4</t>
  </si>
  <si>
    <t>M08</t>
  </si>
  <si>
    <t>M09</t>
  </si>
  <si>
    <t xml:space="preserve">Q2 </t>
  </si>
  <si>
    <t>Q1</t>
  </si>
  <si>
    <t>Gross Sales - New Vehicle (M&amp;S function scope)</t>
  </si>
  <si>
    <t>Gross Sales - Other External sales</t>
  </si>
  <si>
    <t>VME - New Vehicle (M&amp;S function scope)</t>
  </si>
  <si>
    <t>VME - Other</t>
  </si>
  <si>
    <t>@Std. Cost</t>
  </si>
  <si>
    <t>% of Gross Sales</t>
  </si>
  <si>
    <t>MFG</t>
  </si>
  <si>
    <t>VT</t>
  </si>
  <si>
    <t>Warranty</t>
  </si>
  <si>
    <t>MFG - out of function scope</t>
  </si>
  <si>
    <t>Global AS</t>
  </si>
  <si>
    <t>G&amp;A (region)</t>
  </si>
  <si>
    <t>Credit Loss / Provision</t>
  </si>
  <si>
    <t>G&amp;A out of function scope</t>
  </si>
  <si>
    <t>% of Net Sales</t>
  </si>
  <si>
    <t>R&amp;D</t>
  </si>
  <si>
    <t>RS</t>
  </si>
  <si>
    <t>FMI- out of function scope</t>
  </si>
  <si>
    <t>Exp</t>
  </si>
  <si>
    <t>Export OSP (Out)</t>
  </si>
  <si>
    <t>NV</t>
  </si>
  <si>
    <t>Import OSP (In)</t>
  </si>
  <si>
    <t>R&amp;D (Functional ROP)</t>
  </si>
  <si>
    <t>ITP</t>
  </si>
  <si>
    <t>ITP MZ</t>
  </si>
  <si>
    <t>ITP Import CBU</t>
  </si>
  <si>
    <t>ITP Export CBU</t>
  </si>
  <si>
    <t>Royalty NV</t>
  </si>
  <si>
    <t>Export</t>
  </si>
  <si>
    <t>Royalty Export</t>
  </si>
  <si>
    <t>Others</t>
  </si>
  <si>
    <t>CCS</t>
  </si>
  <si>
    <t>AS</t>
  </si>
  <si>
    <t>NII</t>
  </si>
  <si>
    <t>G&amp;A</t>
  </si>
  <si>
    <t>G&amp;A reclass</t>
  </si>
  <si>
    <t>MZ now</t>
  </si>
  <si>
    <t>Legacy Claims</t>
  </si>
  <si>
    <t>OCS TdC</t>
  </si>
  <si>
    <t>Compact EV/VT Impairment</t>
  </si>
  <si>
    <t>MZ impairment</t>
  </si>
  <si>
    <t>G&amp;A Impairment</t>
  </si>
  <si>
    <t>MZ</t>
  </si>
  <si>
    <t>check</t>
  </si>
  <si>
    <t>CMPI</t>
  </si>
  <si>
    <t>FC</t>
  </si>
  <si>
    <t>Check RMPI</t>
  </si>
  <si>
    <t>CMP-I + Fixed Cost</t>
    <phoneticPr fontId="0"/>
  </si>
  <si>
    <t>M EUR</t>
    <phoneticPr fontId="0"/>
  </si>
  <si>
    <t>TIV</t>
    <phoneticPr fontId="0"/>
  </si>
  <si>
    <t>Retail sales volume (K units) - NISSAN</t>
    <phoneticPr fontId="0"/>
  </si>
  <si>
    <t>Retail sales volume (K units) - INFINITI</t>
    <phoneticPr fontId="0"/>
  </si>
  <si>
    <t>Retail sales volume (K units) - DATSUN</t>
    <phoneticPr fontId="0"/>
  </si>
  <si>
    <t>Wholesale volume (K units) To third party (Domestic) - NISSAN</t>
    <phoneticPr fontId="0"/>
  </si>
  <si>
    <t>Wholesale volume (K units) To third party (Domestic) - INFINITI</t>
    <phoneticPr fontId="0"/>
  </si>
  <si>
    <t>Wholesale volume (K units) To third party (Domestic) - DATSUN</t>
    <phoneticPr fontId="0"/>
  </si>
  <si>
    <t>Wholesale volume (K units) To third party (Export)</t>
    <phoneticPr fontId="0"/>
  </si>
  <si>
    <t>Gross Sales</t>
    <phoneticPr fontId="0"/>
  </si>
  <si>
    <t>VME Total</t>
    <phoneticPr fontId="0"/>
  </si>
  <si>
    <t>Net Sales</t>
    <phoneticPr fontId="0"/>
  </si>
  <si>
    <t>Other MFG variable</t>
    <phoneticPr fontId="0"/>
  </si>
  <si>
    <t>Parts / Materials and Others</t>
    <phoneticPr fontId="0"/>
  </si>
  <si>
    <t>CMP-I</t>
    <phoneticPr fontId="0"/>
  </si>
  <si>
    <t>R&amp;D *except for function</t>
    <phoneticPr fontId="0"/>
  </si>
  <si>
    <t>*RS (Global Function Cost)</t>
    <phoneticPr fontId="0"/>
  </si>
  <si>
    <t>MZK Total</t>
    <phoneticPr fontId="0"/>
  </si>
  <si>
    <t>FMI (M&amp;S)</t>
    <phoneticPr fontId="0"/>
  </si>
  <si>
    <r>
      <t xml:space="preserve">Remarketing </t>
    </r>
    <r>
      <rPr>
        <i/>
        <sz val="10"/>
        <rFont val="Verdana"/>
        <family val="2"/>
      </rPr>
      <t>(USA/Canada/Infiniti)</t>
    </r>
  </si>
  <si>
    <t>*FMI- out of function scope (CFMI &amp; Other)</t>
    <phoneticPr fontId="0"/>
  </si>
  <si>
    <t>FMI Total</t>
    <phoneticPr fontId="0"/>
  </si>
  <si>
    <t>*GNX G&amp;A (Global Function Cost)</t>
    <phoneticPr fontId="0"/>
  </si>
  <si>
    <t>G&amp;A Total</t>
    <phoneticPr fontId="0"/>
  </si>
  <si>
    <t>Fixed Cost Total</t>
    <phoneticPr fontId="0"/>
  </si>
  <si>
    <t>CMP-I + Fixed Cost</t>
    <phoneticPr fontId="0"/>
  </si>
  <si>
    <t>R&amp;D</t>
    <phoneticPr fontId="0"/>
  </si>
  <si>
    <t>RS</t>
    <phoneticPr fontId="0"/>
  </si>
  <si>
    <t>GNX G&amp;A (NML Only)</t>
    <phoneticPr fontId="0"/>
  </si>
  <si>
    <t>Global Function Cost</t>
    <phoneticPr fontId="0"/>
  </si>
  <si>
    <t>ROP (PKG)</t>
    <phoneticPr fontId="0"/>
  </si>
  <si>
    <t>* ICP (Infiniti Contribution Profit)</t>
    <phoneticPr fontId="0"/>
  </si>
  <si>
    <t>CFMI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</si>
</sst>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_ "/>
    <numFmt numFmtId="165" formatCode="#,##0.0"/>
    <numFmt numFmtId="166" formatCode="#,##0.000"/>
    <numFmt numFmtId="167" formatCode="0.0%"/>
    <numFmt numFmtId="168" formatCode="#,##0.0;\-#,##0.0"/>
    <numFmt numFmtId="169" formatCode="#,##0.0;[Red]\-#,##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sz val="11"/>
      <color theme="1"/>
      <name val="Verdana"/>
      <family val="2"/>
    </font>
    <font>
      <b/>
      <sz val="11"/>
      <name val="Verdana"/>
      <family val="2"/>
    </font>
    <font>
      <sz val="11"/>
      <name val="ＭＳ Ｐゴシック"/>
      <family val="3"/>
      <charset val="128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sz val="11"/>
      <name val="Verdana"/>
      <family val="2"/>
    </font>
    <font>
      <i/>
      <sz val="11"/>
      <color theme="0" tint="-0.499984740745262"/>
      <name val="Verdana"/>
      <family val="2"/>
    </font>
    <font>
      <sz val="11"/>
      <color theme="1" tint="0.499984740745262"/>
      <name val="Verdana"/>
      <family val="2"/>
    </font>
    <font>
      <i/>
      <sz val="11"/>
      <color theme="1" tint="0.499984740745262"/>
      <name val="Verdana"/>
      <family val="2"/>
    </font>
    <font>
      <i/>
      <sz val="11"/>
      <color rgb="FFFF0000"/>
      <name val="Verdana"/>
      <family val="2"/>
    </font>
    <font>
      <i/>
      <sz val="11"/>
      <name val="Verdana"/>
      <family val="2"/>
    </font>
    <font>
      <i/>
      <sz val="11"/>
      <color theme="1"/>
      <name val="Verdana"/>
      <family val="2"/>
    </font>
    <font>
      <i/>
      <sz val="10"/>
      <name val="Verdana"/>
      <family val="2"/>
    </font>
    <font>
      <b/>
      <i/>
      <sz val="11"/>
      <name val="Verdana"/>
      <family val="2"/>
    </font>
    <font>
      <b/>
      <sz val="11"/>
      <color rgb="FF0070C0"/>
      <name val="Verdana"/>
      <family val="2"/>
    </font>
    <font>
      <b/>
      <sz val="11"/>
      <color theme="1"/>
      <name val="Aptos Narrow"/>
      <family val="2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C75D5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rgb="FF009AD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88">
    <xf numFmtId="0" fontId="0" fillId="0" borderId="0" xfId="0"/>
    <xf numFmtId="3" fontId="4" fillId="2" borderId="0" xfId="4" applyNumberFormat="1" applyFont="1" applyFill="1">
      <alignment vertical="center"/>
    </xf>
    <xf numFmtId="3" fontId="4" fillId="3" borderId="0" xfId="4" applyNumberFormat="1" applyFont="1" applyFill="1">
      <alignment vertical="center"/>
    </xf>
    <xf numFmtId="0" fontId="2" fillId="0" borderId="1" xfId="0" applyFont="1" applyBorder="1" applyAlignment="1">
      <alignment horizontal="right"/>
    </xf>
    <xf numFmtId="3" fontId="5" fillId="4" borderId="0" xfId="4" applyNumberFormat="1" applyFont="1" applyFill="1">
      <alignment vertical="center"/>
    </xf>
    <xf numFmtId="4" fontId="4" fillId="2" borderId="0" xfId="4" applyNumberFormat="1" applyFont="1" applyFill="1">
      <alignment vertical="center"/>
    </xf>
    <xf numFmtId="3" fontId="4" fillId="4" borderId="0" xfId="4" applyNumberFormat="1" applyFont="1" applyFill="1">
      <alignment vertical="center"/>
    </xf>
    <xf numFmtId="3" fontId="4" fillId="0" borderId="0" xfId="4" applyNumberFormat="1" applyFont="1">
      <alignment vertical="center"/>
    </xf>
    <xf numFmtId="3" fontId="7" fillId="2" borderId="0" xfId="5" applyNumberFormat="1" applyFont="1" applyFill="1">
      <alignment vertical="center"/>
    </xf>
    <xf numFmtId="3" fontId="7" fillId="2" borderId="0" xfId="5" applyNumberFormat="1" applyFont="1" applyFill="1" applyAlignment="1">
      <alignment horizontal="left" vertical="center"/>
    </xf>
    <xf numFmtId="3" fontId="8" fillId="2" borderId="0" xfId="5" applyNumberFormat="1" applyFont="1" applyFill="1" applyAlignment="1">
      <alignment horizontal="left" vertical="center"/>
    </xf>
    <xf numFmtId="3" fontId="8" fillId="2" borderId="0" xfId="5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4" fontId="9" fillId="8" borderId="7" xfId="5" quotePrefix="1" applyNumberFormat="1" applyFont="1" applyFill="1" applyBorder="1" applyAlignment="1">
      <alignment horizontal="center" vertical="center" wrapText="1"/>
    </xf>
    <xf numFmtId="3" fontId="7" fillId="14" borderId="1" xfId="4" applyNumberFormat="1" applyFont="1" applyFill="1" applyBorder="1" applyAlignment="1">
      <alignment vertical="center" wrapText="1"/>
    </xf>
    <xf numFmtId="3" fontId="7" fillId="9" borderId="1" xfId="4" applyNumberFormat="1" applyFont="1" applyFill="1" applyBorder="1" applyAlignment="1">
      <alignment horizontal="center" vertical="center" wrapText="1"/>
    </xf>
    <xf numFmtId="164" fontId="9" fillId="11" borderId="8" xfId="5" quotePrefix="1" applyNumberFormat="1" applyFont="1" applyFill="1" applyBorder="1" applyAlignment="1">
      <alignment horizontal="center" vertical="center" wrapText="1"/>
    </xf>
    <xf numFmtId="164" fontId="9" fillId="3" borderId="7" xfId="5" quotePrefix="1" applyNumberFormat="1" applyFont="1" applyFill="1" applyBorder="1" applyAlignment="1">
      <alignment horizontal="center" vertical="center" wrapText="1"/>
    </xf>
    <xf numFmtId="164" fontId="9" fillId="2" borderId="9" xfId="5" quotePrefix="1" applyNumberFormat="1" applyFont="1" applyFill="1" applyBorder="1" applyAlignment="1">
      <alignment horizontal="center" vertical="center" wrapText="1"/>
    </xf>
    <xf numFmtId="164" fontId="9" fillId="2" borderId="1" xfId="5" quotePrefix="1" applyNumberFormat="1" applyFont="1" applyFill="1" applyBorder="1" applyAlignment="1">
      <alignment horizontal="center" vertical="center" wrapText="1"/>
    </xf>
    <xf numFmtId="164" fontId="9" fillId="5" borderId="10" xfId="5" quotePrefix="1" applyNumberFormat="1" applyFont="1" applyFill="1" applyBorder="1" applyAlignment="1">
      <alignment horizontal="center" vertical="center" wrapText="1"/>
    </xf>
    <xf numFmtId="164" fontId="9" fillId="6" borderId="8" xfId="5" quotePrefix="1" applyNumberFormat="1" applyFont="1" applyFill="1" applyBorder="1" applyAlignment="1">
      <alignment horizontal="center" vertical="center" wrapText="1"/>
    </xf>
    <xf numFmtId="164" fontId="9" fillId="7" borderId="11" xfId="5" quotePrefix="1" applyNumberFormat="1" applyFont="1" applyFill="1" applyBorder="1" applyAlignment="1">
      <alignment horizontal="center" vertical="center"/>
    </xf>
    <xf numFmtId="164" fontId="9" fillId="8" borderId="8" xfId="5" quotePrefix="1" applyNumberFormat="1" applyFont="1" applyFill="1" applyBorder="1" applyAlignment="1">
      <alignment horizontal="center" vertical="center" wrapText="1"/>
    </xf>
    <xf numFmtId="164" fontId="9" fillId="9" borderId="8" xfId="5" quotePrefix="1" applyNumberFormat="1" applyFont="1" applyFill="1" applyBorder="1" applyAlignment="1">
      <alignment horizontal="center" vertical="center" wrapText="1"/>
    </xf>
    <xf numFmtId="164" fontId="9" fillId="10" borderId="8" xfId="5" quotePrefix="1" applyNumberFormat="1" applyFont="1" applyFill="1" applyBorder="1" applyAlignment="1">
      <alignment horizontal="center" vertical="center" wrapText="1"/>
    </xf>
    <xf numFmtId="164" fontId="9" fillId="12" borderId="8" xfId="5" quotePrefix="1" applyNumberFormat="1" applyFont="1" applyFill="1" applyBorder="1" applyAlignment="1">
      <alignment horizontal="center" vertical="center" wrapText="1"/>
    </xf>
    <xf numFmtId="164" fontId="9" fillId="13" borderId="8" xfId="5" quotePrefix="1" applyNumberFormat="1" applyFont="1" applyFill="1" applyBorder="1" applyAlignment="1">
      <alignment horizontal="center" vertical="center" wrapText="1"/>
    </xf>
    <xf numFmtId="164" fontId="9" fillId="9" borderId="1" xfId="5" quotePrefix="1" applyNumberFormat="1" applyFont="1" applyFill="1" applyBorder="1" applyAlignment="1">
      <alignment horizontal="center" vertical="center" wrapText="1"/>
    </xf>
    <xf numFmtId="164" fontId="9" fillId="3" borderId="8" xfId="5" quotePrefix="1" applyNumberFormat="1" applyFont="1" applyFill="1" applyBorder="1" applyAlignment="1">
      <alignment horizontal="center" vertical="center" wrapText="1"/>
    </xf>
    <xf numFmtId="3" fontId="11" fillId="2" borderId="12" xfId="6" applyNumberFormat="1" applyFont="1" applyFill="1" applyBorder="1"/>
    <xf numFmtId="3" fontId="11" fillId="2" borderId="13" xfId="7" applyNumberFormat="1" applyFont="1" applyFill="1" applyBorder="1" applyAlignment="1">
      <alignment vertical="center"/>
    </xf>
    <xf numFmtId="3" fontId="11" fillId="2" borderId="13" xfId="6" applyNumberFormat="1" applyFont="1" applyFill="1" applyBorder="1"/>
    <xf numFmtId="3" fontId="9" fillId="15" borderId="14" xfId="5" quotePrefix="1" applyNumberFormat="1" applyFont="1" applyFill="1" applyBorder="1" applyAlignment="1">
      <alignment horizontal="right" vertical="center"/>
    </xf>
    <xf numFmtId="3" fontId="9" fillId="5" borderId="15" xfId="5" quotePrefix="1" applyNumberFormat="1" applyFont="1" applyFill="1" applyBorder="1" applyAlignment="1">
      <alignment horizontal="right" vertical="center"/>
    </xf>
    <xf numFmtId="3" fontId="9" fillId="15" borderId="16" xfId="5" quotePrefix="1" applyNumberFormat="1" applyFont="1" applyFill="1" applyBorder="1" applyAlignment="1">
      <alignment horizontal="right" vertical="center"/>
    </xf>
    <xf numFmtId="3" fontId="9" fillId="6" borderId="16" xfId="5" quotePrefix="1" applyNumberFormat="1" applyFont="1" applyFill="1" applyBorder="1" applyAlignment="1">
      <alignment horizontal="right" vertical="center"/>
    </xf>
    <xf numFmtId="3" fontId="4" fillId="2" borderId="1" xfId="4" applyNumberFormat="1" applyFont="1" applyFill="1" applyBorder="1">
      <alignment vertical="center"/>
    </xf>
    <xf numFmtId="3" fontId="11" fillId="7" borderId="16" xfId="5" quotePrefix="1" applyNumberFormat="1" applyFont="1" applyFill="1" applyBorder="1" applyAlignment="1">
      <alignment horizontal="right" vertical="center"/>
    </xf>
    <xf numFmtId="3" fontId="4" fillId="2" borderId="0" xfId="4" applyNumberFormat="1" applyFont="1" applyFill="1" applyAlignment="1">
      <alignment horizontal="right" vertical="center"/>
    </xf>
    <xf numFmtId="3" fontId="9" fillId="8" borderId="16" xfId="5" quotePrefix="1" applyNumberFormat="1" applyFont="1" applyFill="1" applyBorder="1" applyAlignment="1">
      <alignment horizontal="right" vertical="center"/>
    </xf>
    <xf numFmtId="3" fontId="9" fillId="9" borderId="16" xfId="5" quotePrefix="1" applyNumberFormat="1" applyFont="1" applyFill="1" applyBorder="1" applyAlignment="1">
      <alignment horizontal="right" vertical="center"/>
    </xf>
    <xf numFmtId="3" fontId="9" fillId="10" borderId="16" xfId="5" quotePrefix="1" applyNumberFormat="1" applyFont="1" applyFill="1" applyBorder="1" applyAlignment="1">
      <alignment horizontal="right" vertical="center"/>
    </xf>
    <xf numFmtId="3" fontId="9" fillId="11" borderId="16" xfId="5" quotePrefix="1" applyNumberFormat="1" applyFont="1" applyFill="1" applyBorder="1" applyAlignment="1">
      <alignment horizontal="right" vertical="center"/>
    </xf>
    <xf numFmtId="3" fontId="9" fillId="12" borderId="16" xfId="5" quotePrefix="1" applyNumberFormat="1" applyFont="1" applyFill="1" applyBorder="1" applyAlignment="1">
      <alignment horizontal="right" vertical="center"/>
    </xf>
    <xf numFmtId="3" fontId="9" fillId="13" borderId="16" xfId="5" quotePrefix="1" applyNumberFormat="1" applyFont="1" applyFill="1" applyBorder="1" applyAlignment="1">
      <alignment horizontal="right" vertical="center"/>
    </xf>
    <xf numFmtId="3" fontId="4" fillId="9" borderId="1" xfId="4" applyNumberFormat="1" applyFont="1" applyFill="1" applyBorder="1">
      <alignment vertical="center"/>
    </xf>
    <xf numFmtId="3" fontId="9" fillId="3" borderId="16" xfId="5" quotePrefix="1" applyNumberFormat="1" applyFont="1" applyFill="1" applyBorder="1" applyAlignment="1">
      <alignment horizontal="right" vertical="center"/>
    </xf>
    <xf numFmtId="3" fontId="9" fillId="5" borderId="17" xfId="5" quotePrefix="1" applyNumberFormat="1" applyFont="1" applyFill="1" applyBorder="1" applyAlignment="1">
      <alignment horizontal="right" vertical="center"/>
    </xf>
    <xf numFmtId="3" fontId="9" fillId="15" borderId="1" xfId="5" quotePrefix="1" applyNumberFormat="1" applyFont="1" applyFill="1" applyBorder="1" applyAlignment="1">
      <alignment horizontal="right" vertical="center"/>
    </xf>
    <xf numFmtId="3" fontId="9" fillId="6" borderId="1" xfId="5" quotePrefix="1" applyNumberFormat="1" applyFont="1" applyFill="1" applyBorder="1" applyAlignment="1">
      <alignment horizontal="right" vertical="center"/>
    </xf>
    <xf numFmtId="3" fontId="11" fillId="7" borderId="1" xfId="5" quotePrefix="1" applyNumberFormat="1" applyFont="1" applyFill="1" applyBorder="1" applyAlignment="1">
      <alignment horizontal="right" vertical="center"/>
    </xf>
    <xf numFmtId="3" fontId="9" fillId="8" borderId="1" xfId="5" quotePrefix="1" applyNumberFormat="1" applyFont="1" applyFill="1" applyBorder="1" applyAlignment="1">
      <alignment horizontal="right" vertical="center"/>
    </xf>
    <xf numFmtId="3" fontId="9" fillId="9" borderId="1" xfId="5" quotePrefix="1" applyNumberFormat="1" applyFont="1" applyFill="1" applyBorder="1" applyAlignment="1">
      <alignment horizontal="right" vertical="center"/>
    </xf>
    <xf numFmtId="3" fontId="9" fillId="10" borderId="1" xfId="5" quotePrefix="1" applyNumberFormat="1" applyFont="1" applyFill="1" applyBorder="1" applyAlignment="1">
      <alignment horizontal="right" vertical="center"/>
    </xf>
    <xf numFmtId="3" fontId="9" fillId="11" borderId="1" xfId="5" quotePrefix="1" applyNumberFormat="1" applyFont="1" applyFill="1" applyBorder="1" applyAlignment="1">
      <alignment horizontal="right" vertical="center"/>
    </xf>
    <xf numFmtId="3" fontId="9" fillId="12" borderId="1" xfId="5" quotePrefix="1" applyNumberFormat="1" applyFont="1" applyFill="1" applyBorder="1" applyAlignment="1">
      <alignment horizontal="right" vertical="center"/>
    </xf>
    <xf numFmtId="3" fontId="9" fillId="13" borderId="1" xfId="5" quotePrefix="1" applyNumberFormat="1" applyFont="1" applyFill="1" applyBorder="1" applyAlignment="1">
      <alignment horizontal="right" vertical="center"/>
    </xf>
    <xf numFmtId="3" fontId="9" fillId="3" borderId="1" xfId="5" quotePrefix="1" applyNumberFormat="1" applyFont="1" applyFill="1" applyBorder="1" applyAlignment="1">
      <alignment horizontal="right" vertical="center"/>
    </xf>
    <xf numFmtId="165" fontId="9" fillId="15" borderId="9" xfId="5" quotePrefix="1" applyNumberFormat="1" applyFont="1" applyFill="1" applyBorder="1" applyAlignment="1">
      <alignment horizontal="right" vertical="center"/>
    </xf>
    <xf numFmtId="3" fontId="11" fillId="2" borderId="0" xfId="6" applyNumberFormat="1" applyFont="1" applyFill="1"/>
    <xf numFmtId="3" fontId="11" fillId="2" borderId="0" xfId="7" applyNumberFormat="1" applyFont="1" applyFill="1" applyAlignment="1">
      <alignment vertical="center"/>
    </xf>
    <xf numFmtId="3" fontId="4" fillId="2" borderId="18" xfId="4" applyNumberFormat="1" applyFont="1" applyFill="1" applyBorder="1">
      <alignment vertical="center"/>
    </xf>
    <xf numFmtId="3" fontId="4" fillId="2" borderId="19" xfId="4" applyNumberFormat="1" applyFont="1" applyFill="1" applyBorder="1">
      <alignment vertical="center"/>
    </xf>
    <xf numFmtId="3" fontId="4" fillId="9" borderId="0" xfId="4" applyNumberFormat="1" applyFont="1" applyFill="1">
      <alignment vertical="center"/>
    </xf>
    <xf numFmtId="3" fontId="4" fillId="2" borderId="5" xfId="5" applyNumberFormat="1" applyFont="1" applyFill="1" applyBorder="1">
      <alignment vertical="center"/>
    </xf>
    <xf numFmtId="3" fontId="4" fillId="2" borderId="6" xfId="5" applyNumberFormat="1" applyFont="1" applyFill="1" applyBorder="1">
      <alignment vertical="center"/>
    </xf>
    <xf numFmtId="165" fontId="11" fillId="15" borderId="14" xfId="8" applyNumberFormat="1" applyFont="1" applyFill="1" applyBorder="1" applyAlignment="1">
      <alignment horizontal="right" vertical="center"/>
    </xf>
    <xf numFmtId="165" fontId="11" fillId="15" borderId="16" xfId="8" applyNumberFormat="1" applyFont="1" applyFill="1" applyBorder="1" applyAlignment="1">
      <alignment horizontal="right" vertical="center"/>
    </xf>
    <xf numFmtId="165" fontId="11" fillId="5" borderId="15" xfId="8" applyNumberFormat="1" applyFont="1" applyFill="1" applyBorder="1" applyAlignment="1">
      <alignment horizontal="right" vertical="center"/>
    </xf>
    <xf numFmtId="165" fontId="11" fillId="6" borderId="16" xfId="8" applyNumberFormat="1" applyFont="1" applyFill="1" applyBorder="1" applyAlignment="1">
      <alignment horizontal="right" vertical="center"/>
    </xf>
    <xf numFmtId="165" fontId="11" fillId="2" borderId="16" xfId="8" applyNumberFormat="1" applyFont="1" applyFill="1" applyBorder="1" applyAlignment="1">
      <alignment horizontal="right" vertical="center"/>
    </xf>
    <xf numFmtId="165" fontId="11" fillId="7" borderId="16" xfId="8" applyNumberFormat="1" applyFont="1" applyFill="1" applyBorder="1" applyAlignment="1">
      <alignment horizontal="right" vertical="center"/>
    </xf>
    <xf numFmtId="165" fontId="4" fillId="2" borderId="0" xfId="4" applyNumberFormat="1" applyFont="1" applyFill="1">
      <alignment vertical="center"/>
    </xf>
    <xf numFmtId="165" fontId="11" fillId="8" borderId="16" xfId="8" applyNumberFormat="1" applyFont="1" applyFill="1" applyBorder="1" applyAlignment="1">
      <alignment horizontal="right" vertical="center"/>
    </xf>
    <xf numFmtId="165" fontId="11" fillId="9" borderId="16" xfId="8" applyNumberFormat="1" applyFont="1" applyFill="1" applyBorder="1" applyAlignment="1">
      <alignment horizontal="right" vertical="center"/>
    </xf>
    <xf numFmtId="165" fontId="11" fillId="10" borderId="16" xfId="8" applyNumberFormat="1" applyFont="1" applyFill="1" applyBorder="1" applyAlignment="1">
      <alignment horizontal="right" vertical="center"/>
    </xf>
    <xf numFmtId="165" fontId="11" fillId="11" borderId="16" xfId="8" applyNumberFormat="1" applyFont="1" applyFill="1" applyBorder="1" applyAlignment="1">
      <alignment horizontal="right" vertical="center"/>
    </xf>
    <xf numFmtId="165" fontId="11" fillId="12" borderId="16" xfId="8" applyNumberFormat="1" applyFont="1" applyFill="1" applyBorder="1" applyAlignment="1">
      <alignment horizontal="right" vertical="center"/>
    </xf>
    <xf numFmtId="165" fontId="11" fillId="13" borderId="16" xfId="8" applyNumberFormat="1" applyFont="1" applyFill="1" applyBorder="1" applyAlignment="1">
      <alignment horizontal="right" vertical="center"/>
    </xf>
    <xf numFmtId="165" fontId="11" fillId="3" borderId="16" xfId="8" applyNumberFormat="1" applyFont="1" applyFill="1" applyBorder="1" applyAlignment="1">
      <alignment horizontal="right" vertical="center"/>
    </xf>
    <xf numFmtId="3" fontId="4" fillId="2" borderId="20" xfId="5" applyNumberFormat="1" applyFont="1" applyFill="1" applyBorder="1">
      <alignment vertical="center"/>
    </xf>
    <xf numFmtId="3" fontId="4" fillId="2" borderId="0" xfId="5" applyNumberFormat="1" applyFont="1" applyFill="1">
      <alignment vertical="center"/>
    </xf>
    <xf numFmtId="165" fontId="11" fillId="15" borderId="21" xfId="8" applyNumberFormat="1" applyFont="1" applyFill="1" applyBorder="1" applyAlignment="1">
      <alignment horizontal="right" vertical="center"/>
    </xf>
    <xf numFmtId="165" fontId="11" fillId="15" borderId="22" xfId="8" applyNumberFormat="1" applyFont="1" applyFill="1" applyBorder="1" applyAlignment="1">
      <alignment horizontal="right" vertical="center"/>
    </xf>
    <xf numFmtId="165" fontId="11" fillId="5" borderId="23" xfId="8" applyNumberFormat="1" applyFont="1" applyFill="1" applyBorder="1" applyAlignment="1">
      <alignment horizontal="right" vertical="center"/>
    </xf>
    <xf numFmtId="165" fontId="11" fillId="6" borderId="22" xfId="8" applyNumberFormat="1" applyFont="1" applyFill="1" applyBorder="1" applyAlignment="1">
      <alignment horizontal="right" vertical="center"/>
    </xf>
    <xf numFmtId="165" fontId="11" fillId="2" borderId="22" xfId="8" applyNumberFormat="1" applyFont="1" applyFill="1" applyBorder="1" applyAlignment="1">
      <alignment horizontal="right" vertical="center"/>
    </xf>
    <xf numFmtId="165" fontId="11" fillId="7" borderId="22" xfId="8" applyNumberFormat="1" applyFont="1" applyFill="1" applyBorder="1" applyAlignment="1">
      <alignment horizontal="right" vertical="center"/>
    </xf>
    <xf numFmtId="165" fontId="11" fillId="8" borderId="22" xfId="8" applyNumberFormat="1" applyFont="1" applyFill="1" applyBorder="1" applyAlignment="1">
      <alignment horizontal="right" vertical="center"/>
    </xf>
    <xf numFmtId="165" fontId="11" fillId="9" borderId="22" xfId="8" applyNumberFormat="1" applyFont="1" applyFill="1" applyBorder="1" applyAlignment="1">
      <alignment horizontal="right" vertical="center"/>
    </xf>
    <xf numFmtId="165" fontId="11" fillId="10" borderId="22" xfId="8" applyNumberFormat="1" applyFont="1" applyFill="1" applyBorder="1" applyAlignment="1">
      <alignment horizontal="right" vertical="center"/>
    </xf>
    <xf numFmtId="165" fontId="11" fillId="11" borderId="22" xfId="8" applyNumberFormat="1" applyFont="1" applyFill="1" applyBorder="1" applyAlignment="1">
      <alignment horizontal="right" vertical="center"/>
    </xf>
    <xf numFmtId="165" fontId="11" fillId="12" borderId="22" xfId="8" applyNumberFormat="1" applyFont="1" applyFill="1" applyBorder="1" applyAlignment="1">
      <alignment horizontal="right" vertical="center"/>
    </xf>
    <xf numFmtId="165" fontId="11" fillId="13" borderId="22" xfId="8" applyNumberFormat="1" applyFont="1" applyFill="1" applyBorder="1" applyAlignment="1">
      <alignment horizontal="right" vertical="center"/>
    </xf>
    <xf numFmtId="165" fontId="11" fillId="3" borderId="22" xfId="8" applyNumberFormat="1" applyFont="1" applyFill="1" applyBorder="1" applyAlignment="1">
      <alignment horizontal="right" vertical="center"/>
    </xf>
    <xf numFmtId="3" fontId="4" fillId="2" borderId="8" xfId="5" applyNumberFormat="1" applyFont="1" applyFill="1" applyBorder="1">
      <alignment vertical="center"/>
    </xf>
    <xf numFmtId="3" fontId="4" fillId="2" borderId="12" xfId="5" applyNumberFormat="1" applyFont="1" applyFill="1" applyBorder="1">
      <alignment vertical="center"/>
    </xf>
    <xf numFmtId="3" fontId="4" fillId="2" borderId="13" xfId="5" applyNumberFormat="1" applyFont="1" applyFill="1" applyBorder="1">
      <alignment vertical="center"/>
    </xf>
    <xf numFmtId="165" fontId="11" fillId="2" borderId="14" xfId="2" applyNumberFormat="1" applyFont="1" applyFill="1" applyBorder="1" applyAlignment="1">
      <alignment horizontal="right" vertical="center"/>
    </xf>
    <xf numFmtId="165" fontId="11" fillId="2" borderId="16" xfId="2" applyNumberFormat="1" applyFont="1" applyFill="1" applyBorder="1" applyAlignment="1">
      <alignment horizontal="right" vertical="center"/>
    </xf>
    <xf numFmtId="165" fontId="11" fillId="9" borderId="16" xfId="2" applyNumberFormat="1" applyFont="1" applyFill="1" applyBorder="1" applyAlignment="1">
      <alignment horizontal="right" vertical="center"/>
    </xf>
    <xf numFmtId="165" fontId="9" fillId="15" borderId="1" xfId="5" quotePrefix="1" applyNumberFormat="1" applyFont="1" applyFill="1" applyBorder="1" applyAlignment="1">
      <alignment horizontal="right" vertical="center"/>
    </xf>
    <xf numFmtId="3" fontId="4" fillId="2" borderId="24" xfId="5" applyNumberFormat="1" applyFont="1" applyFill="1" applyBorder="1">
      <alignment vertical="center"/>
    </xf>
    <xf numFmtId="3" fontId="4" fillId="2" borderId="25" xfId="5" applyNumberFormat="1" applyFont="1" applyFill="1" applyBorder="1">
      <alignment vertical="center"/>
    </xf>
    <xf numFmtId="3" fontId="4" fillId="2" borderId="24" xfId="5" quotePrefix="1" applyNumberFormat="1" applyFont="1" applyFill="1" applyBorder="1">
      <alignment vertical="center"/>
    </xf>
    <xf numFmtId="165" fontId="11" fillId="2" borderId="9" xfId="8" applyNumberFormat="1" applyFont="1" applyFill="1" applyBorder="1" applyAlignment="1">
      <alignment horizontal="right" vertical="center"/>
    </xf>
    <xf numFmtId="165" fontId="11" fillId="5" borderId="17" xfId="8" applyNumberFormat="1" applyFont="1" applyFill="1" applyBorder="1" applyAlignment="1">
      <alignment horizontal="right" vertical="center"/>
    </xf>
    <xf numFmtId="165" fontId="11" fillId="2" borderId="1" xfId="8" applyNumberFormat="1" applyFont="1" applyFill="1" applyBorder="1" applyAlignment="1">
      <alignment horizontal="right" vertical="center"/>
    </xf>
    <xf numFmtId="165" fontId="11" fillId="7" borderId="1" xfId="8" applyNumberFormat="1" applyFont="1" applyFill="1" applyBorder="1" applyAlignment="1">
      <alignment horizontal="right" vertical="center"/>
    </xf>
    <xf numFmtId="165" fontId="11" fillId="9" borderId="1" xfId="8" applyNumberFormat="1" applyFont="1" applyFill="1" applyBorder="1" applyAlignment="1">
      <alignment horizontal="right" vertical="center"/>
    </xf>
    <xf numFmtId="3" fontId="7" fillId="2" borderId="20" xfId="5" applyNumberFormat="1" applyFont="1" applyFill="1" applyBorder="1">
      <alignment vertical="center"/>
    </xf>
    <xf numFmtId="3" fontId="7" fillId="2" borderId="6" xfId="5" applyNumberFormat="1" applyFont="1" applyFill="1" applyBorder="1">
      <alignment vertical="center"/>
    </xf>
    <xf numFmtId="165" fontId="5" fillId="2" borderId="14" xfId="8" applyNumberFormat="1" applyFont="1" applyFill="1" applyBorder="1" applyAlignment="1">
      <alignment horizontal="right" vertical="center"/>
    </xf>
    <xf numFmtId="165" fontId="5" fillId="5" borderId="15" xfId="8" applyNumberFormat="1" applyFont="1" applyFill="1" applyBorder="1" applyAlignment="1">
      <alignment horizontal="right" vertical="center"/>
    </xf>
    <xf numFmtId="165" fontId="5" fillId="2" borderId="16" xfId="8" applyNumberFormat="1" applyFont="1" applyFill="1" applyBorder="1" applyAlignment="1">
      <alignment horizontal="right" vertical="center"/>
    </xf>
    <xf numFmtId="165" fontId="5" fillId="6" borderId="16" xfId="8" applyNumberFormat="1" applyFont="1" applyFill="1" applyBorder="1" applyAlignment="1">
      <alignment horizontal="right" vertical="center"/>
    </xf>
    <xf numFmtId="165" fontId="5" fillId="7" borderId="16" xfId="8" applyNumberFormat="1" applyFont="1" applyFill="1" applyBorder="1" applyAlignment="1">
      <alignment horizontal="right" vertical="center"/>
    </xf>
    <xf numFmtId="165" fontId="5" fillId="8" borderId="16" xfId="8" applyNumberFormat="1" applyFont="1" applyFill="1" applyBorder="1" applyAlignment="1">
      <alignment horizontal="right" vertical="center"/>
    </xf>
    <xf numFmtId="165" fontId="5" fillId="9" borderId="16" xfId="8" applyNumberFormat="1" applyFont="1" applyFill="1" applyBorder="1" applyAlignment="1">
      <alignment horizontal="right" vertical="center"/>
    </xf>
    <xf numFmtId="165" fontId="5" fillId="10" borderId="16" xfId="8" applyNumberFormat="1" applyFont="1" applyFill="1" applyBorder="1" applyAlignment="1">
      <alignment horizontal="right" vertical="center"/>
    </xf>
    <xf numFmtId="165" fontId="5" fillId="11" borderId="16" xfId="8" applyNumberFormat="1" applyFont="1" applyFill="1" applyBorder="1" applyAlignment="1">
      <alignment horizontal="right" vertical="center"/>
    </xf>
    <xf numFmtId="165" fontId="5" fillId="12" borderId="16" xfId="8" applyNumberFormat="1" applyFont="1" applyFill="1" applyBorder="1" applyAlignment="1">
      <alignment horizontal="right" vertical="center"/>
    </xf>
    <xf numFmtId="165" fontId="5" fillId="13" borderId="16" xfId="8" applyNumberFormat="1" applyFont="1" applyFill="1" applyBorder="1" applyAlignment="1">
      <alignment horizontal="right" vertical="center"/>
    </xf>
    <xf numFmtId="165" fontId="5" fillId="3" borderId="16" xfId="8" applyNumberFormat="1" applyFont="1" applyFill="1" applyBorder="1" applyAlignment="1">
      <alignment horizontal="right" vertical="center"/>
    </xf>
    <xf numFmtId="3" fontId="12" fillId="2" borderId="6" xfId="5" quotePrefix="1" applyNumberFormat="1" applyFont="1" applyFill="1" applyBorder="1">
      <alignment vertical="center"/>
    </xf>
    <xf numFmtId="3" fontId="13" fillId="2" borderId="6" xfId="5" applyNumberFormat="1" applyFont="1" applyFill="1" applyBorder="1">
      <alignment vertical="center"/>
    </xf>
    <xf numFmtId="3" fontId="14" fillId="2" borderId="25" xfId="5" applyNumberFormat="1" applyFont="1" applyFill="1" applyBorder="1">
      <alignment vertical="center"/>
    </xf>
    <xf numFmtId="3" fontId="13" fillId="2" borderId="25" xfId="5" applyNumberFormat="1" applyFont="1" applyFill="1" applyBorder="1">
      <alignment vertical="center"/>
    </xf>
    <xf numFmtId="165" fontId="11" fillId="15" borderId="26" xfId="8" applyNumberFormat="1" applyFont="1" applyFill="1" applyBorder="1" applyAlignment="1">
      <alignment horizontal="right" vertical="center"/>
    </xf>
    <xf numFmtId="165" fontId="11" fillId="5" borderId="10" xfId="8" applyNumberFormat="1" applyFont="1" applyFill="1" applyBorder="1" applyAlignment="1">
      <alignment horizontal="right" vertical="center"/>
    </xf>
    <xf numFmtId="165" fontId="11" fillId="15" borderId="8" xfId="8" applyNumberFormat="1" applyFont="1" applyFill="1" applyBorder="1" applyAlignment="1">
      <alignment horizontal="right" vertical="center"/>
    </xf>
    <xf numFmtId="165" fontId="11" fillId="6" borderId="8" xfId="8" applyNumberFormat="1" applyFont="1" applyFill="1" applyBorder="1" applyAlignment="1">
      <alignment horizontal="right" vertical="center"/>
    </xf>
    <xf numFmtId="165" fontId="11" fillId="2" borderId="8" xfId="8" applyNumberFormat="1" applyFont="1" applyFill="1" applyBorder="1" applyAlignment="1">
      <alignment horizontal="right" vertical="center"/>
    </xf>
    <xf numFmtId="165" fontId="11" fillId="7" borderId="8" xfId="8" applyNumberFormat="1" applyFont="1" applyFill="1" applyBorder="1" applyAlignment="1">
      <alignment horizontal="right" vertical="center"/>
    </xf>
    <xf numFmtId="165" fontId="11" fillId="8" borderId="8" xfId="8" applyNumberFormat="1" applyFont="1" applyFill="1" applyBorder="1" applyAlignment="1">
      <alignment horizontal="right" vertical="center"/>
    </xf>
    <xf numFmtId="165" fontId="11" fillId="9" borderId="8" xfId="8" applyNumberFormat="1" applyFont="1" applyFill="1" applyBorder="1" applyAlignment="1">
      <alignment horizontal="right" vertical="center"/>
    </xf>
    <xf numFmtId="165" fontId="11" fillId="10" borderId="8" xfId="8" applyNumberFormat="1" applyFont="1" applyFill="1" applyBorder="1" applyAlignment="1">
      <alignment horizontal="right" vertical="center"/>
    </xf>
    <xf numFmtId="165" fontId="11" fillId="11" borderId="8" xfId="8" applyNumberFormat="1" applyFont="1" applyFill="1" applyBorder="1" applyAlignment="1">
      <alignment horizontal="right" vertical="center"/>
    </xf>
    <xf numFmtId="165" fontId="11" fillId="12" borderId="8" xfId="8" applyNumberFormat="1" applyFont="1" applyFill="1" applyBorder="1" applyAlignment="1">
      <alignment horizontal="right" vertical="center"/>
    </xf>
    <xf numFmtId="165" fontId="11" fillId="13" borderId="8" xfId="8" applyNumberFormat="1" applyFont="1" applyFill="1" applyBorder="1" applyAlignment="1">
      <alignment horizontal="right" vertical="center"/>
    </xf>
    <xf numFmtId="165" fontId="11" fillId="3" borderId="8" xfId="8" applyNumberFormat="1" applyFont="1" applyFill="1" applyBorder="1" applyAlignment="1">
      <alignment horizontal="right" vertical="center"/>
    </xf>
    <xf numFmtId="165" fontId="11" fillId="2" borderId="21" xfId="8" applyNumberFormat="1" applyFont="1" applyFill="1" applyBorder="1" applyAlignment="1">
      <alignment horizontal="right" vertical="center"/>
    </xf>
    <xf numFmtId="3" fontId="7" fillId="2" borderId="5" xfId="5" applyNumberFormat="1" applyFont="1" applyFill="1" applyBorder="1">
      <alignment vertical="center"/>
    </xf>
    <xf numFmtId="165" fontId="5" fillId="2" borderId="27" xfId="8" applyNumberFormat="1" applyFont="1" applyFill="1" applyBorder="1" applyAlignment="1">
      <alignment horizontal="right" vertical="center"/>
    </xf>
    <xf numFmtId="165" fontId="5" fillId="2" borderId="5" xfId="8" applyNumberFormat="1" applyFont="1" applyFill="1" applyBorder="1" applyAlignment="1">
      <alignment horizontal="right" vertical="center"/>
    </xf>
    <xf numFmtId="165" fontId="5" fillId="6" borderId="5" xfId="8" applyNumberFormat="1" applyFont="1" applyFill="1" applyBorder="1" applyAlignment="1">
      <alignment horizontal="right" vertical="center"/>
    </xf>
    <xf numFmtId="4" fontId="5" fillId="2" borderId="5" xfId="8" applyNumberFormat="1" applyFont="1" applyFill="1" applyBorder="1" applyAlignment="1">
      <alignment horizontal="right" vertical="center"/>
    </xf>
    <xf numFmtId="165" fontId="4" fillId="2" borderId="22" xfId="4" applyNumberFormat="1" applyFont="1" applyFill="1" applyBorder="1">
      <alignment vertical="center"/>
    </xf>
    <xf numFmtId="165" fontId="5" fillId="8" borderId="5" xfId="8" applyNumberFormat="1" applyFont="1" applyFill="1" applyBorder="1" applyAlignment="1">
      <alignment horizontal="right" vertical="center"/>
    </xf>
    <xf numFmtId="165" fontId="5" fillId="9" borderId="22" xfId="8" applyNumberFormat="1" applyFont="1" applyFill="1" applyBorder="1" applyAlignment="1">
      <alignment horizontal="right" vertical="center"/>
    </xf>
    <xf numFmtId="165" fontId="5" fillId="10" borderId="5" xfId="8" applyNumberFormat="1" applyFont="1" applyFill="1" applyBorder="1" applyAlignment="1">
      <alignment horizontal="right" vertical="center"/>
    </xf>
    <xf numFmtId="165" fontId="5" fillId="11" borderId="5" xfId="8" applyNumberFormat="1" applyFont="1" applyFill="1" applyBorder="1" applyAlignment="1">
      <alignment horizontal="right" vertical="center"/>
    </xf>
    <xf numFmtId="166" fontId="5" fillId="2" borderId="5" xfId="8" applyNumberFormat="1" applyFont="1" applyFill="1" applyBorder="1" applyAlignment="1">
      <alignment horizontal="right" vertical="center"/>
    </xf>
    <xf numFmtId="165" fontId="5" fillId="12" borderId="5" xfId="8" applyNumberFormat="1" applyFont="1" applyFill="1" applyBorder="1" applyAlignment="1">
      <alignment horizontal="right" vertical="center"/>
    </xf>
    <xf numFmtId="165" fontId="5" fillId="13" borderId="5" xfId="8" applyNumberFormat="1" applyFont="1" applyFill="1" applyBorder="1" applyAlignment="1">
      <alignment horizontal="right" vertical="center"/>
    </xf>
    <xf numFmtId="165" fontId="5" fillId="9" borderId="5" xfId="8" applyNumberFormat="1" applyFont="1" applyFill="1" applyBorder="1" applyAlignment="1">
      <alignment horizontal="right" vertical="center"/>
    </xf>
    <xf numFmtId="165" fontId="5" fillId="3" borderId="5" xfId="8" applyNumberFormat="1" applyFont="1" applyFill="1" applyBorder="1" applyAlignment="1">
      <alignment horizontal="right" vertical="center"/>
    </xf>
    <xf numFmtId="165" fontId="5" fillId="3" borderId="22" xfId="8" applyNumberFormat="1" applyFont="1" applyFill="1" applyBorder="1" applyAlignment="1">
      <alignment horizontal="right" vertical="center"/>
    </xf>
    <xf numFmtId="3" fontId="4" fillId="2" borderId="28" xfId="5" applyNumberFormat="1" applyFont="1" applyFill="1" applyBorder="1">
      <alignment vertical="center"/>
    </xf>
    <xf numFmtId="3" fontId="15" fillId="2" borderId="29" xfId="5" applyNumberFormat="1" applyFont="1" applyFill="1" applyBorder="1">
      <alignment vertical="center"/>
    </xf>
    <xf numFmtId="3" fontId="4" fillId="2" borderId="30" xfId="5" applyNumberFormat="1" applyFont="1" applyFill="1" applyBorder="1">
      <alignment vertical="center"/>
    </xf>
    <xf numFmtId="167" fontId="16" fillId="2" borderId="31" xfId="3" applyNumberFormat="1" applyFont="1" applyFill="1" applyBorder="1" applyAlignment="1">
      <alignment horizontal="right" vertical="center"/>
    </xf>
    <xf numFmtId="167" fontId="16" fillId="5" borderId="32" xfId="3" applyNumberFormat="1" applyFont="1" applyFill="1" applyBorder="1" applyAlignment="1">
      <alignment horizontal="right" vertical="center"/>
    </xf>
    <xf numFmtId="167" fontId="4" fillId="2" borderId="0" xfId="3" applyNumberFormat="1" applyFont="1" applyFill="1" applyBorder="1" applyAlignment="1">
      <alignment vertical="center"/>
    </xf>
    <xf numFmtId="167" fontId="16" fillId="2" borderId="33" xfId="9" applyNumberFormat="1" applyFont="1" applyFill="1" applyBorder="1" applyAlignment="1">
      <alignment horizontal="right" vertical="center"/>
    </xf>
    <xf numFmtId="167" fontId="16" fillId="6" borderId="33" xfId="9" applyNumberFormat="1" applyFont="1" applyFill="1" applyBorder="1" applyAlignment="1">
      <alignment horizontal="right" vertical="center"/>
    </xf>
    <xf numFmtId="167" fontId="16" fillId="2" borderId="33" xfId="3" applyNumberFormat="1" applyFont="1" applyFill="1" applyBorder="1" applyAlignment="1">
      <alignment horizontal="right" vertical="center"/>
    </xf>
    <xf numFmtId="167" fontId="16" fillId="7" borderId="33" xfId="3" applyNumberFormat="1" applyFont="1" applyFill="1" applyBorder="1" applyAlignment="1">
      <alignment horizontal="right" vertical="center"/>
    </xf>
    <xf numFmtId="167" fontId="16" fillId="8" borderId="33" xfId="9" applyNumberFormat="1" applyFont="1" applyFill="1" applyBorder="1" applyAlignment="1">
      <alignment horizontal="right" vertical="center"/>
    </xf>
    <xf numFmtId="167" fontId="16" fillId="9" borderId="33" xfId="9" applyNumberFormat="1" applyFont="1" applyFill="1" applyBorder="1" applyAlignment="1">
      <alignment horizontal="right" vertical="center"/>
    </xf>
    <xf numFmtId="167" fontId="16" fillId="10" borderId="33" xfId="9" applyNumberFormat="1" applyFont="1" applyFill="1" applyBorder="1" applyAlignment="1">
      <alignment horizontal="right" vertical="center"/>
    </xf>
    <xf numFmtId="167" fontId="16" fillId="11" borderId="33" xfId="9" applyNumberFormat="1" applyFont="1" applyFill="1" applyBorder="1" applyAlignment="1">
      <alignment horizontal="right" vertical="center"/>
    </xf>
    <xf numFmtId="167" fontId="16" fillId="12" borderId="33" xfId="9" applyNumberFormat="1" applyFont="1" applyFill="1" applyBorder="1" applyAlignment="1">
      <alignment horizontal="right" vertical="center"/>
    </xf>
    <xf numFmtId="167" fontId="16" fillId="13" borderId="33" xfId="9" applyNumberFormat="1" applyFont="1" applyFill="1" applyBorder="1" applyAlignment="1">
      <alignment horizontal="right" vertical="center"/>
    </xf>
    <xf numFmtId="167" fontId="16" fillId="9" borderId="33" xfId="3" applyNumberFormat="1" applyFont="1" applyFill="1" applyBorder="1" applyAlignment="1">
      <alignment horizontal="right" vertical="center"/>
    </xf>
    <xf numFmtId="167" fontId="16" fillId="3" borderId="33" xfId="9" applyNumberFormat="1" applyFont="1" applyFill="1" applyBorder="1" applyAlignment="1">
      <alignment horizontal="right" vertical="center"/>
    </xf>
    <xf numFmtId="9" fontId="9" fillId="3" borderId="16" xfId="3" quotePrefix="1" applyFont="1" applyFill="1" applyBorder="1" applyAlignment="1">
      <alignment horizontal="right" vertical="center"/>
    </xf>
    <xf numFmtId="3" fontId="17" fillId="2" borderId="0" xfId="5" applyNumberFormat="1" applyFont="1" applyFill="1">
      <alignment vertical="center"/>
    </xf>
    <xf numFmtId="165" fontId="11" fillId="16" borderId="21" xfId="8" applyNumberFormat="1" applyFont="1" applyFill="1" applyBorder="1" applyAlignment="1">
      <alignment horizontal="right" vertical="center"/>
    </xf>
    <xf numFmtId="165" fontId="11" fillId="16" borderId="23" xfId="8" applyNumberFormat="1" applyFont="1" applyFill="1" applyBorder="1" applyAlignment="1">
      <alignment horizontal="right" vertical="center"/>
    </xf>
    <xf numFmtId="165" fontId="11" fillId="16" borderId="22" xfId="8" applyNumberFormat="1" applyFont="1" applyFill="1" applyBorder="1" applyAlignment="1">
      <alignment horizontal="right" vertical="center"/>
    </xf>
    <xf numFmtId="3" fontId="17" fillId="2" borderId="25" xfId="5" applyNumberFormat="1" applyFont="1" applyFill="1" applyBorder="1">
      <alignment vertical="center"/>
    </xf>
    <xf numFmtId="165" fontId="5" fillId="2" borderId="21" xfId="8" applyNumberFormat="1" applyFont="1" applyFill="1" applyBorder="1" applyAlignment="1">
      <alignment horizontal="right" vertical="center"/>
    </xf>
    <xf numFmtId="165" fontId="5" fillId="5" borderId="23" xfId="8" applyNumberFormat="1" applyFont="1" applyFill="1" applyBorder="1" applyAlignment="1">
      <alignment horizontal="right" vertical="center"/>
    </xf>
    <xf numFmtId="165" fontId="5" fillId="2" borderId="22" xfId="8" applyNumberFormat="1" applyFont="1" applyFill="1" applyBorder="1" applyAlignment="1">
      <alignment horizontal="right" vertical="center"/>
    </xf>
    <xf numFmtId="165" fontId="5" fillId="6" borderId="22" xfId="8" applyNumberFormat="1" applyFont="1" applyFill="1" applyBorder="1" applyAlignment="1">
      <alignment horizontal="right" vertical="center"/>
    </xf>
    <xf numFmtId="165" fontId="5" fillId="7" borderId="22" xfId="8" applyNumberFormat="1" applyFont="1" applyFill="1" applyBorder="1" applyAlignment="1">
      <alignment horizontal="right" vertical="center"/>
    </xf>
    <xf numFmtId="165" fontId="5" fillId="8" borderId="22" xfId="8" applyNumberFormat="1" applyFont="1" applyFill="1" applyBorder="1" applyAlignment="1">
      <alignment horizontal="right" vertical="center"/>
    </xf>
    <xf numFmtId="165" fontId="5" fillId="10" borderId="22" xfId="8" applyNumberFormat="1" applyFont="1" applyFill="1" applyBorder="1" applyAlignment="1">
      <alignment horizontal="right" vertical="center"/>
    </xf>
    <xf numFmtId="165" fontId="5" fillId="11" borderId="22" xfId="8" applyNumberFormat="1" applyFont="1" applyFill="1" applyBorder="1" applyAlignment="1">
      <alignment horizontal="right" vertical="center"/>
    </xf>
    <xf numFmtId="165" fontId="5" fillId="12" borderId="22" xfId="8" applyNumberFormat="1" applyFont="1" applyFill="1" applyBorder="1" applyAlignment="1">
      <alignment horizontal="right" vertical="center"/>
    </xf>
    <xf numFmtId="165" fontId="5" fillId="13" borderId="22" xfId="8" applyNumberFormat="1" applyFont="1" applyFill="1" applyBorder="1" applyAlignment="1">
      <alignment horizontal="right" vertical="center"/>
    </xf>
    <xf numFmtId="164" fontId="17" fillId="2" borderId="6" xfId="5" applyNumberFormat="1" applyFont="1" applyFill="1" applyBorder="1">
      <alignment vertical="center"/>
    </xf>
    <xf numFmtId="164" fontId="16" fillId="2" borderId="0" xfId="5" applyNumberFormat="1" applyFont="1" applyFill="1">
      <alignment vertical="center"/>
    </xf>
    <xf numFmtId="165" fontId="4" fillId="2" borderId="20" xfId="5" applyNumberFormat="1" applyFont="1" applyFill="1" applyBorder="1">
      <alignment vertical="center"/>
    </xf>
    <xf numFmtId="165" fontId="4" fillId="2" borderId="24" xfId="5" applyNumberFormat="1" applyFont="1" applyFill="1" applyBorder="1">
      <alignment vertical="center"/>
    </xf>
    <xf numFmtId="165" fontId="19" fillId="2" borderId="25" xfId="5" applyNumberFormat="1" applyFont="1" applyFill="1" applyBorder="1">
      <alignment vertical="center"/>
    </xf>
    <xf numFmtId="165" fontId="4" fillId="2" borderId="25" xfId="5" applyNumberFormat="1" applyFont="1" applyFill="1" applyBorder="1">
      <alignment vertical="center"/>
    </xf>
    <xf numFmtId="4" fontId="11" fillId="15" borderId="26" xfId="8" applyNumberFormat="1" applyFont="1" applyFill="1" applyBorder="1" applyAlignment="1">
      <alignment horizontal="right" vertical="center"/>
    </xf>
    <xf numFmtId="4" fontId="11" fillId="5" borderId="10" xfId="8" applyNumberFormat="1" applyFont="1" applyFill="1" applyBorder="1" applyAlignment="1">
      <alignment horizontal="right" vertical="center"/>
    </xf>
    <xf numFmtId="4" fontId="11" fillId="15" borderId="8" xfId="8" applyNumberFormat="1" applyFont="1" applyFill="1" applyBorder="1" applyAlignment="1">
      <alignment horizontal="right" vertical="center"/>
    </xf>
    <xf numFmtId="4" fontId="11" fillId="6" borderId="8" xfId="8" applyNumberFormat="1" applyFont="1" applyFill="1" applyBorder="1" applyAlignment="1">
      <alignment horizontal="right" vertical="center"/>
    </xf>
    <xf numFmtId="4" fontId="11" fillId="2" borderId="8" xfId="8" applyNumberFormat="1" applyFont="1" applyFill="1" applyBorder="1" applyAlignment="1">
      <alignment horizontal="right" vertical="center"/>
    </xf>
    <xf numFmtId="4" fontId="11" fillId="7" borderId="8" xfId="8" applyNumberFormat="1" applyFont="1" applyFill="1" applyBorder="1" applyAlignment="1">
      <alignment horizontal="right" vertical="center"/>
    </xf>
    <xf numFmtId="4" fontId="11" fillId="8" borderId="8" xfId="8" applyNumberFormat="1" applyFont="1" applyFill="1" applyBorder="1" applyAlignment="1">
      <alignment horizontal="right" vertical="center"/>
    </xf>
    <xf numFmtId="4" fontId="11" fillId="9" borderId="8" xfId="8" applyNumberFormat="1" applyFont="1" applyFill="1" applyBorder="1" applyAlignment="1">
      <alignment horizontal="right" vertical="center"/>
    </xf>
    <xf numFmtId="4" fontId="11" fillId="10" borderId="8" xfId="8" applyNumberFormat="1" applyFont="1" applyFill="1" applyBorder="1" applyAlignment="1">
      <alignment horizontal="right" vertical="center"/>
    </xf>
    <xf numFmtId="4" fontId="11" fillId="11" borderId="8" xfId="8" applyNumberFormat="1" applyFont="1" applyFill="1" applyBorder="1" applyAlignment="1">
      <alignment horizontal="right" vertical="center"/>
    </xf>
    <xf numFmtId="4" fontId="11" fillId="12" borderId="8" xfId="8" applyNumberFormat="1" applyFont="1" applyFill="1" applyBorder="1" applyAlignment="1">
      <alignment horizontal="right" vertical="center"/>
    </xf>
    <xf numFmtId="4" fontId="11" fillId="13" borderId="8" xfId="8" applyNumberFormat="1" applyFont="1" applyFill="1" applyBorder="1" applyAlignment="1">
      <alignment horizontal="right" vertical="center"/>
    </xf>
    <xf numFmtId="4" fontId="11" fillId="3" borderId="8" xfId="8" applyNumberFormat="1" applyFont="1" applyFill="1" applyBorder="1" applyAlignment="1">
      <alignment horizontal="right" vertical="center"/>
    </xf>
    <xf numFmtId="165" fontId="5" fillId="2" borderId="9" xfId="8" applyNumberFormat="1" applyFont="1" applyFill="1" applyBorder="1" applyAlignment="1">
      <alignment horizontal="right" vertical="center"/>
    </xf>
    <xf numFmtId="165" fontId="5" fillId="5" borderId="17" xfId="8" applyNumberFormat="1" applyFont="1" applyFill="1" applyBorder="1" applyAlignment="1">
      <alignment horizontal="right" vertical="center"/>
    </xf>
    <xf numFmtId="165" fontId="5" fillId="2" borderId="1" xfId="8" applyNumberFormat="1" applyFont="1" applyFill="1" applyBorder="1" applyAlignment="1">
      <alignment horizontal="right" vertical="center"/>
    </xf>
    <xf numFmtId="4" fontId="5" fillId="9" borderId="22" xfId="8" applyNumberFormat="1" applyFont="1" applyFill="1" applyBorder="1" applyAlignment="1">
      <alignment horizontal="right" vertical="center"/>
    </xf>
    <xf numFmtId="165" fontId="5" fillId="9" borderId="1" xfId="8" applyNumberFormat="1" applyFont="1" applyFill="1" applyBorder="1" applyAlignment="1">
      <alignment horizontal="right" vertical="center"/>
    </xf>
    <xf numFmtId="3" fontId="4" fillId="2" borderId="20" xfId="5" quotePrefix="1" applyNumberFormat="1" applyFont="1" applyFill="1" applyBorder="1" applyAlignment="1">
      <alignment horizontal="center" vertical="center"/>
    </xf>
    <xf numFmtId="3" fontId="4" fillId="2" borderId="5" xfId="5" quotePrefix="1" applyNumberFormat="1" applyFont="1" applyFill="1" applyBorder="1" applyAlignment="1">
      <alignment horizontal="center" vertical="center"/>
    </xf>
    <xf numFmtId="3" fontId="17" fillId="2" borderId="6" xfId="5" applyNumberFormat="1" applyFont="1" applyFill="1" applyBorder="1">
      <alignment vertical="center"/>
    </xf>
    <xf numFmtId="165" fontId="11" fillId="16" borderId="16" xfId="8" applyNumberFormat="1" applyFont="1" applyFill="1" applyBorder="1" applyAlignment="1">
      <alignment horizontal="right" vertical="center"/>
    </xf>
    <xf numFmtId="3" fontId="4" fillId="2" borderId="22" xfId="5" quotePrefix="1" applyNumberFormat="1" applyFont="1" applyFill="1" applyBorder="1" applyAlignment="1">
      <alignment horizontal="center" vertical="center"/>
    </xf>
    <xf numFmtId="164" fontId="15" fillId="2" borderId="0" xfId="5" applyNumberFormat="1" applyFont="1" applyFill="1">
      <alignment vertical="center"/>
    </xf>
    <xf numFmtId="3" fontId="15" fillId="2" borderId="0" xfId="5" applyNumberFormat="1" applyFont="1" applyFill="1">
      <alignment vertical="center"/>
    </xf>
    <xf numFmtId="4" fontId="4" fillId="2" borderId="22" xfId="5" quotePrefix="1" applyNumberFormat="1" applyFont="1" applyFill="1" applyBorder="1" applyAlignment="1">
      <alignment horizontal="center" vertical="center"/>
    </xf>
    <xf numFmtId="4" fontId="4" fillId="2" borderId="20" xfId="5" quotePrefix="1" applyNumberFormat="1" applyFont="1" applyFill="1" applyBorder="1" applyAlignment="1">
      <alignment horizontal="center" vertical="center"/>
    </xf>
    <xf numFmtId="4" fontId="17" fillId="2" borderId="0" xfId="5" applyNumberFormat="1" applyFont="1" applyFill="1">
      <alignment vertical="center"/>
    </xf>
    <xf numFmtId="4" fontId="4" fillId="2" borderId="0" xfId="5" applyNumberFormat="1" applyFont="1" applyFill="1">
      <alignment vertical="center"/>
    </xf>
    <xf numFmtId="4" fontId="11" fillId="15" borderId="21" xfId="8" applyNumberFormat="1" applyFont="1" applyFill="1" applyBorder="1" applyAlignment="1">
      <alignment horizontal="right" vertical="center"/>
    </xf>
    <xf numFmtId="4" fontId="11" fillId="5" borderId="23" xfId="8" applyNumberFormat="1" applyFont="1" applyFill="1" applyBorder="1" applyAlignment="1">
      <alignment horizontal="right" vertical="center"/>
    </xf>
    <xf numFmtId="4" fontId="11" fillId="15" borderId="22" xfId="8" applyNumberFormat="1" applyFont="1" applyFill="1" applyBorder="1" applyAlignment="1">
      <alignment horizontal="right" vertical="center"/>
    </xf>
    <xf numFmtId="4" fontId="11" fillId="6" borderId="22" xfId="8" applyNumberFormat="1" applyFont="1" applyFill="1" applyBorder="1" applyAlignment="1">
      <alignment horizontal="right" vertical="center"/>
    </xf>
    <xf numFmtId="4" fontId="11" fillId="2" borderId="22" xfId="8" applyNumberFormat="1" applyFont="1" applyFill="1" applyBorder="1" applyAlignment="1">
      <alignment horizontal="right" vertical="center"/>
    </xf>
    <xf numFmtId="4" fontId="11" fillId="7" borderId="22" xfId="8" applyNumberFormat="1" applyFont="1" applyFill="1" applyBorder="1" applyAlignment="1">
      <alignment horizontal="right" vertical="center"/>
    </xf>
    <xf numFmtId="4" fontId="11" fillId="8" borderId="22" xfId="8" applyNumberFormat="1" applyFont="1" applyFill="1" applyBorder="1" applyAlignment="1">
      <alignment horizontal="right" vertical="center"/>
    </xf>
    <xf numFmtId="4" fontId="11" fillId="9" borderId="22" xfId="8" applyNumberFormat="1" applyFont="1" applyFill="1" applyBorder="1" applyAlignment="1">
      <alignment horizontal="right" vertical="center"/>
    </xf>
    <xf numFmtId="4" fontId="11" fillId="10" borderId="22" xfId="8" applyNumberFormat="1" applyFont="1" applyFill="1" applyBorder="1" applyAlignment="1">
      <alignment horizontal="right" vertical="center"/>
    </xf>
    <xf numFmtId="4" fontId="11" fillId="11" borderId="22" xfId="8" applyNumberFormat="1" applyFont="1" applyFill="1" applyBorder="1" applyAlignment="1">
      <alignment horizontal="right" vertical="center"/>
    </xf>
    <xf numFmtId="4" fontId="11" fillId="12" borderId="22" xfId="8" applyNumberFormat="1" applyFont="1" applyFill="1" applyBorder="1" applyAlignment="1">
      <alignment horizontal="right" vertical="center"/>
    </xf>
    <xf numFmtId="4" fontId="11" fillId="13" borderId="22" xfId="8" applyNumberFormat="1" applyFont="1" applyFill="1" applyBorder="1" applyAlignment="1">
      <alignment horizontal="right" vertical="center"/>
    </xf>
    <xf numFmtId="4" fontId="11" fillId="3" borderId="22" xfId="8" applyNumberFormat="1" applyFont="1" applyFill="1" applyBorder="1" applyAlignment="1">
      <alignment horizontal="right" vertical="center"/>
    </xf>
    <xf numFmtId="3" fontId="4" fillId="2" borderId="20" xfId="5" quotePrefix="1" applyNumberFormat="1" applyFont="1" applyFill="1" applyBorder="1" applyAlignment="1">
      <alignment horizontal="left" vertical="center"/>
    </xf>
    <xf numFmtId="3" fontId="7" fillId="2" borderId="12" xfId="5" quotePrefix="1" applyNumberFormat="1" applyFont="1" applyFill="1" applyBorder="1" applyAlignment="1">
      <alignment horizontal="left" vertical="center"/>
    </xf>
    <xf numFmtId="4" fontId="5" fillId="3" borderId="5" xfId="8" applyNumberFormat="1" applyFont="1" applyFill="1" applyBorder="1" applyAlignment="1">
      <alignment horizontal="right" vertical="center"/>
    </xf>
    <xf numFmtId="167" fontId="16" fillId="6" borderId="33" xfId="3" applyNumberFormat="1" applyFont="1" applyFill="1" applyBorder="1" applyAlignment="1">
      <alignment horizontal="right" vertical="center"/>
    </xf>
    <xf numFmtId="167" fontId="4" fillId="2" borderId="0" xfId="3" applyNumberFormat="1" applyFont="1" applyFill="1" applyAlignment="1">
      <alignment vertical="center"/>
    </xf>
    <xf numFmtId="167" fontId="16" fillId="8" borderId="33" xfId="3" applyNumberFormat="1" applyFont="1" applyFill="1" applyBorder="1" applyAlignment="1">
      <alignment horizontal="right" vertical="center"/>
    </xf>
    <xf numFmtId="167" fontId="16" fillId="10" borderId="33" xfId="3" applyNumberFormat="1" applyFont="1" applyFill="1" applyBorder="1" applyAlignment="1">
      <alignment horizontal="right" vertical="center"/>
    </xf>
    <xf numFmtId="167" fontId="16" fillId="11" borderId="33" xfId="3" applyNumberFormat="1" applyFont="1" applyFill="1" applyBorder="1" applyAlignment="1">
      <alignment horizontal="right" vertical="center"/>
    </xf>
    <xf numFmtId="167" fontId="16" fillId="12" borderId="33" xfId="3" applyNumberFormat="1" applyFont="1" applyFill="1" applyBorder="1" applyAlignment="1">
      <alignment horizontal="right" vertical="center"/>
    </xf>
    <xf numFmtId="167" fontId="16" fillId="13" borderId="33" xfId="3" applyNumberFormat="1" applyFont="1" applyFill="1" applyBorder="1" applyAlignment="1">
      <alignment horizontal="right" vertical="center"/>
    </xf>
    <xf numFmtId="167" fontId="16" fillId="3" borderId="33" xfId="3" applyNumberFormat="1" applyFont="1" applyFill="1" applyBorder="1" applyAlignment="1">
      <alignment horizontal="right" vertical="center"/>
    </xf>
    <xf numFmtId="165" fontId="4" fillId="2" borderId="19" xfId="4" applyNumberFormat="1" applyFont="1" applyFill="1" applyBorder="1">
      <alignment vertical="center"/>
    </xf>
    <xf numFmtId="165" fontId="4" fillId="0" borderId="0" xfId="4" applyNumberFormat="1" applyFont="1">
      <alignment vertical="center"/>
    </xf>
    <xf numFmtId="165" fontId="4" fillId="3" borderId="0" xfId="4" applyNumberFormat="1" applyFont="1" applyFill="1">
      <alignment vertical="center"/>
    </xf>
    <xf numFmtId="3" fontId="7" fillId="2" borderId="16" xfId="4" applyNumberFormat="1" applyFont="1" applyFill="1" applyBorder="1">
      <alignment vertical="center"/>
    </xf>
    <xf numFmtId="3" fontId="7" fillId="2" borderId="12" xfId="4" applyNumberFormat="1" applyFont="1" applyFill="1" applyBorder="1">
      <alignment vertical="center"/>
    </xf>
    <xf numFmtId="3" fontId="7" fillId="2" borderId="13" xfId="4" applyNumberFormat="1" applyFont="1" applyFill="1" applyBorder="1">
      <alignment vertical="center"/>
    </xf>
    <xf numFmtId="3" fontId="5" fillId="15" borderId="9" xfId="8" applyNumberFormat="1" applyFont="1" applyFill="1" applyBorder="1" applyAlignment="1">
      <alignment horizontal="right" vertical="center"/>
    </xf>
    <xf numFmtId="165" fontId="7" fillId="15" borderId="1" xfId="4" applyNumberFormat="1" applyFont="1" applyFill="1" applyBorder="1">
      <alignment vertical="center"/>
    </xf>
    <xf numFmtId="165" fontId="7" fillId="6" borderId="1" xfId="4" applyNumberFormat="1" applyFont="1" applyFill="1" applyBorder="1">
      <alignment vertical="center"/>
    </xf>
    <xf numFmtId="3" fontId="5" fillId="2" borderId="1" xfId="8" applyNumberFormat="1" applyFont="1" applyFill="1" applyBorder="1" applyAlignment="1">
      <alignment horizontal="right" vertical="center"/>
    </xf>
    <xf numFmtId="165" fontId="7" fillId="7" borderId="1" xfId="4" applyNumberFormat="1" applyFont="1" applyFill="1" applyBorder="1">
      <alignment vertical="center"/>
    </xf>
    <xf numFmtId="165" fontId="7" fillId="8" borderId="1" xfId="4" applyNumberFormat="1" applyFont="1" applyFill="1" applyBorder="1">
      <alignment vertical="center"/>
    </xf>
    <xf numFmtId="165" fontId="7" fillId="9" borderId="1" xfId="4" applyNumberFormat="1" applyFont="1" applyFill="1" applyBorder="1">
      <alignment vertical="center"/>
    </xf>
    <xf numFmtId="3" fontId="5" fillId="9" borderId="1" xfId="8" applyNumberFormat="1" applyFont="1" applyFill="1" applyBorder="1" applyAlignment="1">
      <alignment horizontal="right" vertical="center"/>
    </xf>
    <xf numFmtId="165" fontId="7" fillId="3" borderId="1" xfId="4" applyNumberFormat="1" applyFont="1" applyFill="1" applyBorder="1">
      <alignment vertical="center"/>
    </xf>
    <xf numFmtId="3" fontId="7" fillId="2" borderId="20" xfId="4" applyNumberFormat="1" applyFont="1" applyFill="1" applyBorder="1">
      <alignment vertical="center"/>
    </xf>
    <xf numFmtId="3" fontId="7" fillId="2" borderId="24" xfId="5" applyNumberFormat="1" applyFont="1" applyFill="1" applyBorder="1">
      <alignment vertical="center"/>
    </xf>
    <xf numFmtId="3" fontId="7" fillId="2" borderId="13" xfId="5" applyNumberFormat="1" applyFont="1" applyFill="1" applyBorder="1">
      <alignment vertical="center"/>
    </xf>
    <xf numFmtId="165" fontId="5" fillId="15" borderId="1" xfId="8" applyNumberFormat="1" applyFont="1" applyFill="1" applyBorder="1" applyAlignment="1">
      <alignment horizontal="right" vertical="center"/>
    </xf>
    <xf numFmtId="165" fontId="5" fillId="6" borderId="1" xfId="8" applyNumberFormat="1" applyFont="1" applyFill="1" applyBorder="1" applyAlignment="1">
      <alignment horizontal="right" vertical="center"/>
    </xf>
    <xf numFmtId="165" fontId="5" fillId="7" borderId="1" xfId="8" applyNumberFormat="1" applyFont="1" applyFill="1" applyBorder="1" applyAlignment="1">
      <alignment horizontal="right" vertical="center"/>
    </xf>
    <xf numFmtId="165" fontId="5" fillId="8" borderId="1" xfId="8" applyNumberFormat="1" applyFont="1" applyFill="1" applyBorder="1" applyAlignment="1">
      <alignment horizontal="right" vertical="center"/>
    </xf>
    <xf numFmtId="165" fontId="5" fillId="3" borderId="1" xfId="8" applyNumberFormat="1" applyFont="1" applyFill="1" applyBorder="1" applyAlignment="1">
      <alignment horizontal="right" vertical="center"/>
    </xf>
    <xf numFmtId="3" fontId="7" fillId="2" borderId="1" xfId="5" applyNumberFormat="1" applyFont="1" applyFill="1" applyBorder="1">
      <alignment vertical="center"/>
    </xf>
    <xf numFmtId="3" fontId="7" fillId="2" borderId="12" xfId="5" applyNumberFormat="1" applyFont="1" applyFill="1" applyBorder="1">
      <alignment vertical="center"/>
    </xf>
    <xf numFmtId="168" fontId="5" fillId="15" borderId="9" xfId="8" applyNumberFormat="1" applyFont="1" applyFill="1" applyBorder="1" applyAlignment="1">
      <alignment horizontal="right" vertical="center"/>
    </xf>
    <xf numFmtId="39" fontId="5" fillId="15" borderId="9" xfId="8" applyNumberFormat="1" applyFont="1" applyFill="1" applyBorder="1" applyAlignment="1">
      <alignment horizontal="right" vertical="center"/>
    </xf>
    <xf numFmtId="4" fontId="5" fillId="5" borderId="17" xfId="8" applyNumberFormat="1" applyFont="1" applyFill="1" applyBorder="1" applyAlignment="1">
      <alignment horizontal="right" vertical="center"/>
    </xf>
    <xf numFmtId="169" fontId="5" fillId="2" borderId="1" xfId="2" applyNumberFormat="1" applyFont="1" applyFill="1" applyBorder="1" applyAlignment="1">
      <alignment horizontal="right" vertical="center"/>
    </xf>
    <xf numFmtId="40" fontId="5" fillId="2" borderId="1" xfId="2" applyNumberFormat="1" applyFont="1" applyFill="1" applyBorder="1" applyAlignment="1">
      <alignment horizontal="right" vertical="center"/>
    </xf>
    <xf numFmtId="168" fontId="5" fillId="15" borderId="1" xfId="8" applyNumberFormat="1" applyFont="1" applyFill="1" applyBorder="1" applyAlignment="1">
      <alignment horizontal="right" vertical="center"/>
    </xf>
    <xf numFmtId="165" fontId="5" fillId="10" borderId="1" xfId="8" applyNumberFormat="1" applyFont="1" applyFill="1" applyBorder="1" applyAlignment="1">
      <alignment horizontal="right" vertical="center"/>
    </xf>
    <xf numFmtId="165" fontId="5" fillId="11" borderId="1" xfId="8" applyNumberFormat="1" applyFont="1" applyFill="1" applyBorder="1" applyAlignment="1">
      <alignment horizontal="right" vertical="center"/>
    </xf>
    <xf numFmtId="165" fontId="5" fillId="12" borderId="1" xfId="8" applyNumberFormat="1" applyFont="1" applyFill="1" applyBorder="1" applyAlignment="1">
      <alignment horizontal="right" vertical="center"/>
    </xf>
    <xf numFmtId="165" fontId="5" fillId="13" borderId="1" xfId="8" applyNumberFormat="1" applyFont="1" applyFill="1" applyBorder="1" applyAlignment="1">
      <alignment horizontal="right" vertical="center"/>
    </xf>
    <xf numFmtId="169" fontId="5" fillId="9" borderId="1" xfId="2" applyNumberFormat="1" applyFont="1" applyFill="1" applyBorder="1" applyAlignment="1">
      <alignment horizontal="right" vertical="center"/>
    </xf>
    <xf numFmtId="166" fontId="5" fillId="2" borderId="1" xfId="2" applyNumberFormat="1" applyFont="1" applyFill="1" applyBorder="1" applyAlignment="1">
      <alignment horizontal="right" vertical="center"/>
    </xf>
    <xf numFmtId="41" fontId="4" fillId="2" borderId="0" xfId="2" applyFont="1" applyFill="1" applyAlignment="1">
      <alignment vertical="center"/>
    </xf>
    <xf numFmtId="41" fontId="4" fillId="9" borderId="0" xfId="2" applyFont="1" applyFill="1" applyAlignment="1">
      <alignment vertical="center"/>
    </xf>
    <xf numFmtId="3" fontId="4" fillId="2" borderId="13" xfId="4" applyNumberFormat="1" applyFont="1" applyFill="1" applyBorder="1">
      <alignment vertical="center"/>
    </xf>
    <xf numFmtId="165" fontId="5" fillId="15" borderId="34" xfId="8" applyNumberFormat="1" applyFont="1" applyFill="1" applyBorder="1" applyAlignment="1">
      <alignment horizontal="right" vertical="center"/>
    </xf>
    <xf numFmtId="165" fontId="5" fillId="5" borderId="35" xfId="8" applyNumberFormat="1" applyFont="1" applyFill="1" applyBorder="1" applyAlignment="1">
      <alignment horizontal="right" vertical="center"/>
    </xf>
    <xf numFmtId="165" fontId="4" fillId="15" borderId="1" xfId="4" applyNumberFormat="1" applyFont="1" applyFill="1" applyBorder="1">
      <alignment vertical="center"/>
    </xf>
    <xf numFmtId="165" fontId="4" fillId="6" borderId="1" xfId="4" applyNumberFormat="1" applyFont="1" applyFill="1" applyBorder="1">
      <alignment vertical="center"/>
    </xf>
    <xf numFmtId="4" fontId="4" fillId="15" borderId="1" xfId="4" applyNumberFormat="1" applyFont="1" applyFill="1" applyBorder="1">
      <alignment vertical="center"/>
    </xf>
    <xf numFmtId="165" fontId="4" fillId="8" borderId="1" xfId="4" applyNumberFormat="1" applyFont="1" applyFill="1" applyBorder="1">
      <alignment vertical="center"/>
    </xf>
    <xf numFmtId="165" fontId="4" fillId="9" borderId="1" xfId="4" applyNumberFormat="1" applyFont="1" applyFill="1" applyBorder="1">
      <alignment vertical="center"/>
    </xf>
    <xf numFmtId="165" fontId="4" fillId="10" borderId="1" xfId="4" applyNumberFormat="1" applyFont="1" applyFill="1" applyBorder="1">
      <alignment vertical="center"/>
    </xf>
    <xf numFmtId="165" fontId="4" fillId="11" borderId="1" xfId="4" applyNumberFormat="1" applyFont="1" applyFill="1" applyBorder="1">
      <alignment vertical="center"/>
    </xf>
    <xf numFmtId="165" fontId="4" fillId="12" borderId="1" xfId="4" applyNumberFormat="1" applyFont="1" applyFill="1" applyBorder="1">
      <alignment vertical="center"/>
    </xf>
    <xf numFmtId="165" fontId="4" fillId="13" borderId="1" xfId="4" applyNumberFormat="1" applyFont="1" applyFill="1" applyBorder="1">
      <alignment vertical="center"/>
    </xf>
    <xf numFmtId="165" fontId="4" fillId="3" borderId="1" xfId="4" applyNumberFormat="1" applyFont="1" applyFill="1" applyBorder="1">
      <alignment vertical="center"/>
    </xf>
    <xf numFmtId="0" fontId="4" fillId="9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5" fontId="5" fillId="5" borderId="16" xfId="8" applyNumberFormat="1" applyFont="1" applyFill="1" applyBorder="1" applyAlignment="1">
      <alignment horizontal="right" vertical="center"/>
    </xf>
    <xf numFmtId="4" fontId="4" fillId="15" borderId="16" xfId="4" applyNumberFormat="1" applyFont="1" applyFill="1" applyBorder="1">
      <alignment vertical="center"/>
    </xf>
    <xf numFmtId="165" fontId="4" fillId="15" borderId="16" xfId="4" applyNumberFormat="1" applyFont="1" applyFill="1" applyBorder="1">
      <alignment vertical="center"/>
    </xf>
    <xf numFmtId="165" fontId="4" fillId="10" borderId="16" xfId="4" applyNumberFormat="1" applyFont="1" applyFill="1" applyBorder="1">
      <alignment vertical="center"/>
    </xf>
    <xf numFmtId="4" fontId="11" fillId="2" borderId="16" xfId="8" applyNumberFormat="1" applyFont="1" applyFill="1" applyBorder="1" applyAlignment="1">
      <alignment horizontal="right" vertical="center"/>
    </xf>
    <xf numFmtId="0" fontId="7" fillId="2" borderId="20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165" fontId="5" fillId="5" borderId="8" xfId="8" applyNumberFormat="1" applyFont="1" applyFill="1" applyBorder="1" applyAlignment="1">
      <alignment horizontal="right" vertical="center"/>
    </xf>
    <xf numFmtId="165" fontId="5" fillId="6" borderId="8" xfId="8" applyNumberFormat="1" applyFont="1" applyFill="1" applyBorder="1" applyAlignment="1">
      <alignment horizontal="right" vertical="center"/>
    </xf>
    <xf numFmtId="165" fontId="5" fillId="7" borderId="8" xfId="8" applyNumberFormat="1" applyFont="1" applyFill="1" applyBorder="1" applyAlignment="1">
      <alignment horizontal="right" vertical="center"/>
    </xf>
    <xf numFmtId="4" fontId="4" fillId="15" borderId="8" xfId="4" applyNumberFormat="1" applyFont="1" applyFill="1" applyBorder="1">
      <alignment vertical="center"/>
    </xf>
    <xf numFmtId="165" fontId="4" fillId="15" borderId="8" xfId="4" applyNumberFormat="1" applyFont="1" applyFill="1" applyBorder="1">
      <alignment vertical="center"/>
    </xf>
    <xf numFmtId="165" fontId="5" fillId="8" borderId="8" xfId="8" applyNumberFormat="1" applyFont="1" applyFill="1" applyBorder="1" applyAlignment="1">
      <alignment horizontal="right" vertical="center"/>
    </xf>
    <xf numFmtId="165" fontId="5" fillId="9" borderId="8" xfId="8" applyNumberFormat="1" applyFont="1" applyFill="1" applyBorder="1" applyAlignment="1">
      <alignment horizontal="right" vertical="center"/>
    </xf>
    <xf numFmtId="165" fontId="4" fillId="10" borderId="8" xfId="4" applyNumberFormat="1" applyFont="1" applyFill="1" applyBorder="1">
      <alignment vertical="center"/>
    </xf>
    <xf numFmtId="165" fontId="5" fillId="11" borderId="8" xfId="8" applyNumberFormat="1" applyFont="1" applyFill="1" applyBorder="1" applyAlignment="1">
      <alignment horizontal="right" vertical="center"/>
    </xf>
    <xf numFmtId="165" fontId="5" fillId="12" borderId="8" xfId="8" applyNumberFormat="1" applyFont="1" applyFill="1" applyBorder="1" applyAlignment="1">
      <alignment horizontal="right" vertical="center"/>
    </xf>
    <xf numFmtId="4" fontId="5" fillId="13" borderId="8" xfId="8" applyNumberFormat="1" applyFont="1" applyFill="1" applyBorder="1" applyAlignment="1">
      <alignment horizontal="right" vertical="center"/>
    </xf>
    <xf numFmtId="165" fontId="5" fillId="3" borderId="8" xfId="8" applyNumberFormat="1" applyFont="1" applyFill="1" applyBorder="1" applyAlignment="1">
      <alignment horizontal="right" vertical="center"/>
    </xf>
    <xf numFmtId="0" fontId="7" fillId="2" borderId="24" xfId="0" applyFont="1" applyFill="1" applyBorder="1" applyAlignment="1">
      <alignment vertical="center"/>
    </xf>
    <xf numFmtId="0" fontId="20" fillId="2" borderId="13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165" fontId="7" fillId="10" borderId="1" xfId="4" applyNumberFormat="1" applyFont="1" applyFill="1" applyBorder="1">
      <alignment vertical="center"/>
    </xf>
    <xf numFmtId="4" fontId="5" fillId="2" borderId="1" xfId="8" applyNumberFormat="1" applyFont="1" applyFill="1" applyBorder="1" applyAlignment="1">
      <alignment horizontal="right" vertical="center"/>
    </xf>
    <xf numFmtId="3" fontId="3" fillId="2" borderId="0" xfId="4" applyNumberFormat="1" applyFill="1">
      <alignment vertical="center"/>
    </xf>
    <xf numFmtId="3" fontId="21" fillId="2" borderId="0" xfId="4" applyNumberFormat="1" applyFont="1" applyFill="1">
      <alignment vertical="center"/>
    </xf>
    <xf numFmtId="3" fontId="3" fillId="9" borderId="0" xfId="4" applyNumberFormat="1" applyFill="1">
      <alignment vertical="center"/>
    </xf>
    <xf numFmtId="3" fontId="21" fillId="0" borderId="0" xfId="4" applyNumberFormat="1" applyFont="1">
      <alignment vertical="center"/>
    </xf>
    <xf numFmtId="3" fontId="21" fillId="3" borderId="0" xfId="4" applyNumberFormat="1" applyFont="1" applyFill="1">
      <alignment vertical="center"/>
    </xf>
    <xf numFmtId="169" fontId="11" fillId="2" borderId="1" xfId="2" applyNumberFormat="1" applyFont="1" applyFill="1" applyBorder="1" applyAlignment="1">
      <alignment horizontal="right" vertical="center"/>
    </xf>
    <xf numFmtId="165" fontId="7" fillId="11" borderId="1" xfId="4" applyNumberFormat="1" applyFont="1" applyFill="1" applyBorder="1">
      <alignment vertical="center"/>
    </xf>
    <xf numFmtId="165" fontId="7" fillId="12" borderId="1" xfId="4" applyNumberFormat="1" applyFont="1" applyFill="1" applyBorder="1">
      <alignment vertical="center"/>
    </xf>
    <xf numFmtId="165" fontId="7" fillId="13" borderId="1" xfId="4" applyNumberFormat="1" applyFont="1" applyFill="1" applyBorder="1">
      <alignment vertical="center"/>
    </xf>
    <xf numFmtId="169" fontId="11" fillId="9" borderId="1" xfId="2" applyNumberFormat="1" applyFont="1" applyFill="1" applyBorder="1" applyAlignment="1">
      <alignment horizontal="right" vertical="center"/>
    </xf>
    <xf numFmtId="166" fontId="11" fillId="2" borderId="1" xfId="2" applyNumberFormat="1" applyFont="1" applyFill="1" applyBorder="1" applyAlignment="1">
      <alignment horizontal="right" vertical="center"/>
    </xf>
    <xf numFmtId="169" fontId="11" fillId="0" borderId="1" xfId="2" applyNumberFormat="1" applyFont="1" applyFill="1" applyBorder="1" applyAlignment="1">
      <alignment horizontal="right" vertical="center"/>
    </xf>
    <xf numFmtId="165" fontId="5" fillId="0" borderId="1" xfId="8" applyNumberFormat="1" applyFont="1" applyFill="1" applyBorder="1" applyAlignment="1">
      <alignment horizontal="right" vertical="center"/>
    </xf>
    <xf numFmtId="3" fontId="17" fillId="2" borderId="36" xfId="5" applyNumberFormat="1" applyFont="1" applyFill="1" applyBorder="1">
      <alignment vertical="center"/>
    </xf>
    <xf numFmtId="4" fontId="7" fillId="9" borderId="1" xfId="4" applyNumberFormat="1" applyFont="1" applyFill="1" applyBorder="1">
      <alignment vertical="center"/>
    </xf>
    <xf numFmtId="40" fontId="11" fillId="2" borderId="1" xfId="2" applyNumberFormat="1" applyFont="1" applyFill="1" applyBorder="1" applyAlignment="1">
      <alignment horizontal="right" vertical="center"/>
    </xf>
    <xf numFmtId="4" fontId="7" fillId="3" borderId="1" xfId="4" applyNumberFormat="1" applyFont="1" applyFill="1" applyBorder="1">
      <alignment vertical="center"/>
    </xf>
    <xf numFmtId="3" fontId="3" fillId="4" borderId="0" xfId="4" applyNumberFormat="1" applyFill="1">
      <alignment vertical="center"/>
    </xf>
    <xf numFmtId="43" fontId="3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164" fontId="9" fillId="11" borderId="5" xfId="5" quotePrefix="1" applyNumberFormat="1" applyFont="1" applyFill="1" applyBorder="1" applyAlignment="1">
      <alignment horizontal="center" vertical="center" wrapText="1"/>
    </xf>
    <xf numFmtId="164" fontId="9" fillId="11" borderId="6" xfId="5" quotePrefix="1" applyNumberFormat="1" applyFont="1" applyFill="1" applyBorder="1" applyAlignment="1">
      <alignment horizontal="center" vertical="center" wrapText="1"/>
    </xf>
    <xf numFmtId="164" fontId="9" fillId="11" borderId="7" xfId="5" quotePrefix="1" applyNumberFormat="1" applyFont="1" applyFill="1" applyBorder="1" applyAlignment="1">
      <alignment horizontal="center" vertical="center" wrapText="1"/>
    </xf>
    <xf numFmtId="164" fontId="9" fillId="10" borderId="5" xfId="5" quotePrefix="1" applyNumberFormat="1" applyFont="1" applyFill="1" applyBorder="1" applyAlignment="1">
      <alignment horizontal="center" vertical="center" wrapText="1"/>
    </xf>
    <xf numFmtId="164" fontId="9" fillId="10" borderId="6" xfId="5" quotePrefix="1" applyNumberFormat="1" applyFont="1" applyFill="1" applyBorder="1" applyAlignment="1">
      <alignment horizontal="center" vertical="center" wrapText="1"/>
    </xf>
    <xf numFmtId="164" fontId="9" fillId="10" borderId="7" xfId="5" quotePrefix="1" applyNumberFormat="1" applyFont="1" applyFill="1" applyBorder="1" applyAlignment="1">
      <alignment horizontal="center" vertical="center" wrapText="1"/>
    </xf>
    <xf numFmtId="164" fontId="9" fillId="3" borderId="5" xfId="5" quotePrefix="1" applyNumberFormat="1" applyFont="1" applyFill="1" applyBorder="1" applyAlignment="1">
      <alignment horizontal="center" vertical="center" wrapText="1"/>
    </xf>
    <xf numFmtId="164" fontId="9" fillId="3" borderId="6" xfId="5" quotePrefix="1" applyNumberFormat="1" applyFont="1" applyFill="1" applyBorder="1" applyAlignment="1">
      <alignment horizontal="center" vertical="center" wrapText="1"/>
    </xf>
    <xf numFmtId="164" fontId="9" fillId="3" borderId="7" xfId="5" quotePrefix="1" applyNumberFormat="1" applyFont="1" applyFill="1" applyBorder="1" applyAlignment="1">
      <alignment horizontal="center" vertical="center" wrapText="1"/>
    </xf>
    <xf numFmtId="164" fontId="9" fillId="12" borderId="5" xfId="5" quotePrefix="1" applyNumberFormat="1" applyFont="1" applyFill="1" applyBorder="1" applyAlignment="1">
      <alignment horizontal="center" vertical="center" wrapText="1"/>
    </xf>
    <xf numFmtId="164" fontId="9" fillId="12" borderId="6" xfId="5" quotePrefix="1" applyNumberFormat="1" applyFont="1" applyFill="1" applyBorder="1" applyAlignment="1">
      <alignment horizontal="center" vertical="center" wrapText="1"/>
    </xf>
    <xf numFmtId="164" fontId="9" fillId="12" borderId="7" xfId="5" quotePrefix="1" applyNumberFormat="1" applyFont="1" applyFill="1" applyBorder="1" applyAlignment="1">
      <alignment horizontal="center" vertical="center" wrapText="1"/>
    </xf>
    <xf numFmtId="164" fontId="9" fillId="13" borderId="5" xfId="5" quotePrefix="1" applyNumberFormat="1" applyFont="1" applyFill="1" applyBorder="1" applyAlignment="1">
      <alignment horizontal="center" vertical="center" wrapText="1"/>
    </xf>
    <xf numFmtId="164" fontId="9" fillId="13" borderId="6" xfId="5" quotePrefix="1" applyNumberFormat="1" applyFont="1" applyFill="1" applyBorder="1" applyAlignment="1">
      <alignment horizontal="center" vertical="center" wrapText="1"/>
    </xf>
    <xf numFmtId="164" fontId="9" fillId="13" borderId="7" xfId="5" quotePrefix="1" applyNumberFormat="1" applyFont="1" applyFill="1" applyBorder="1" applyAlignment="1">
      <alignment horizontal="center" vertical="center" wrapText="1"/>
    </xf>
    <xf numFmtId="164" fontId="9" fillId="8" borderId="5" xfId="5" quotePrefix="1" applyNumberFormat="1" applyFont="1" applyFill="1" applyBorder="1" applyAlignment="1">
      <alignment horizontal="center" vertical="center" wrapText="1"/>
    </xf>
    <xf numFmtId="164" fontId="9" fillId="8" borderId="6" xfId="5" quotePrefix="1" applyNumberFormat="1" applyFont="1" applyFill="1" applyBorder="1" applyAlignment="1">
      <alignment horizontal="center" vertical="center" wrapText="1"/>
    </xf>
    <xf numFmtId="164" fontId="9" fillId="8" borderId="7" xfId="5" quotePrefix="1" applyNumberFormat="1" applyFont="1" applyFill="1" applyBorder="1" applyAlignment="1">
      <alignment horizontal="center" vertical="center" wrapText="1"/>
    </xf>
    <xf numFmtId="164" fontId="9" fillId="9" borderId="5" xfId="5" quotePrefix="1" applyNumberFormat="1" applyFont="1" applyFill="1" applyBorder="1" applyAlignment="1">
      <alignment horizontal="center" vertical="center" wrapText="1"/>
    </xf>
    <xf numFmtId="164" fontId="9" fillId="9" borderId="6" xfId="5" quotePrefix="1" applyNumberFormat="1" applyFont="1" applyFill="1" applyBorder="1" applyAlignment="1">
      <alignment horizontal="center" vertical="center" wrapText="1"/>
    </xf>
    <xf numFmtId="164" fontId="9" fillId="9" borderId="7" xfId="5" quotePrefix="1" applyNumberFormat="1" applyFont="1" applyFill="1" applyBorder="1" applyAlignment="1">
      <alignment horizontal="center" vertical="center" wrapText="1"/>
    </xf>
    <xf numFmtId="164" fontId="9" fillId="5" borderId="2" xfId="5" quotePrefix="1" applyNumberFormat="1" applyFont="1" applyFill="1" applyBorder="1" applyAlignment="1">
      <alignment horizontal="center" vertical="center" wrapText="1"/>
    </xf>
    <xf numFmtId="164" fontId="9" fillId="5" borderId="3" xfId="5" quotePrefix="1" applyNumberFormat="1" applyFont="1" applyFill="1" applyBorder="1" applyAlignment="1">
      <alignment horizontal="center" vertical="center" wrapText="1"/>
    </xf>
    <xf numFmtId="164" fontId="9" fillId="5" borderId="4" xfId="5" quotePrefix="1" applyNumberFormat="1" applyFont="1" applyFill="1" applyBorder="1" applyAlignment="1">
      <alignment horizontal="center" vertical="center" wrapText="1"/>
    </xf>
    <xf numFmtId="164" fontId="9" fillId="6" borderId="5" xfId="5" quotePrefix="1" applyNumberFormat="1" applyFont="1" applyFill="1" applyBorder="1" applyAlignment="1">
      <alignment horizontal="center" vertical="center" wrapText="1"/>
    </xf>
    <xf numFmtId="164" fontId="9" fillId="6" borderId="6" xfId="5" quotePrefix="1" applyNumberFormat="1" applyFont="1" applyFill="1" applyBorder="1" applyAlignment="1">
      <alignment horizontal="center" vertical="center" wrapText="1"/>
    </xf>
    <xf numFmtId="164" fontId="9" fillId="6" borderId="7" xfId="5" quotePrefix="1" applyNumberFormat="1" applyFont="1" applyFill="1" applyBorder="1" applyAlignment="1">
      <alignment horizontal="center" vertical="center" wrapText="1"/>
    </xf>
    <xf numFmtId="164" fontId="10" fillId="7" borderId="5" xfId="5" quotePrefix="1" applyNumberFormat="1" applyFont="1" applyFill="1" applyBorder="1" applyAlignment="1">
      <alignment horizontal="center" vertical="center" wrapText="1"/>
    </xf>
    <xf numFmtId="164" fontId="10" fillId="7" borderId="6" xfId="5" quotePrefix="1" applyNumberFormat="1" applyFont="1" applyFill="1" applyBorder="1" applyAlignment="1">
      <alignment horizontal="center" vertical="center" wrapText="1"/>
    </xf>
    <xf numFmtId="164" fontId="10" fillId="7" borderId="7" xfId="5" quotePrefix="1" applyNumberFormat="1" applyFont="1" applyFill="1" applyBorder="1" applyAlignment="1">
      <alignment horizontal="center" vertical="center" wrapText="1"/>
    </xf>
  </cellXfs>
  <cellStyles count="10">
    <cellStyle name="Comma" xfId="1" builtinId="3"/>
    <cellStyle name="Comma [0]" xfId="2" builtinId="6"/>
    <cellStyle name="Comma [0] 2" xfId="8" xr:uid="{645A5591-1365-4E6B-A294-8A9D32775A56}"/>
    <cellStyle name="Normal" xfId="0" builtinId="0"/>
    <cellStyle name="Normal_P&amp;L_FY04_11th_YTD_result" xfId="6" xr:uid="{CFCA791B-AF25-490B-A7F1-DDAF4B983BBA}"/>
    <cellStyle name="Percent" xfId="3" builtinId="5"/>
    <cellStyle name="パーセント 3" xfId="9" xr:uid="{FA67876C-060B-4FA4-BFED-B02C41DCA3A4}"/>
    <cellStyle name="標準 2" xfId="4" xr:uid="{E8E44324-80D1-47AE-A55C-C3F4523626B8}"/>
    <cellStyle name="標準 2 2" xfId="5" xr:uid="{496C33F5-3107-4CF2-B10F-6F7E2181E2A4}"/>
    <cellStyle name="標準_FY07 Bud Reply#1 as of Dec.22" xfId="7" xr:uid="{65A183D0-B68F-4E89-8773-EE4BA01B9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ssangroup-my.sharepoint.com/personal/akshitiz-extern_nissan-europe_com/Documents/Desktop/Variance_all_files/Variance_all_files/VA%20master%20file_Feb.xlsx" TargetMode="External"/><Relationship Id="rId1" Type="http://schemas.openxmlformats.org/officeDocument/2006/relationships/externalLinkPath" Target="/personal/akshitiz-extern_nissan-europe_com/Documents/Desktop/Variance_all_files/Variance_all_files/VA%20master%20file_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 month"/>
      <sheetName val="Summary YTD"/>
      <sheetName val="MTD VA vs LY"/>
      <sheetName val="YTD VA LY"/>
      <sheetName val="MTD VA vs BP"/>
      <sheetName val="YTD VA vs BP"/>
      <sheetName val="Q2 Act VA vs Q2 FC2+10"/>
      <sheetName val="MTD VA vs LY_old"/>
      <sheetName val="YTD VA vs LY_old"/>
      <sheetName val="QTD VA vs BP"/>
      <sheetName val="MTD VA vs 2+10"/>
      <sheetName val="YTD VA vs 2+10"/>
      <sheetName val="MTD VA vs OL (0+3)"/>
      <sheetName val="QTD VA vs OL(0+3)"/>
      <sheetName val="QTD VA vs 5+7"/>
      <sheetName val="QTD VA vs 5+7 (2)"/>
      <sheetName val="Q1 vs Q2 (2+10)"/>
      <sheetName val="MTD vs Q1 OL (2+1) Jun"/>
      <sheetName val="Q1 2+1 VA vs OL (0+3)"/>
      <sheetName val="Q1(2+1) VA vs OL(0+3)"/>
      <sheetName val="MTD VA vs LY CMPI-FC"/>
      <sheetName val="YTD VA vs LY CMPI-FC"/>
      <sheetName val="QTD VA vs LY CMPI_FC"/>
      <sheetName val="MTD VA vs 5+7"/>
      <sheetName val="YTD VA vs 5+7"/>
      <sheetName val="MTD VA vs 7+5"/>
      <sheetName val="YTD VA vs 7+5"/>
      <sheetName val="QTD Q3 vs FC7+5 Q4"/>
      <sheetName val="QTD Q3 vs FC7+5 Q3"/>
      <sheetName val=" VA vs PM"/>
      <sheetName val="MTD VA vs OL (1+2)"/>
      <sheetName val="Act"/>
      <sheetName val="BP"/>
      <sheetName val="LY"/>
      <sheetName val="FC5+7"/>
      <sheetName val="FC7+5"/>
      <sheetName val="MTD VA vs 5+7 (ORIGINAL)"/>
      <sheetName val="YTD VA vs 5+7 (ORIGINAL)"/>
      <sheetName val="FC2+10"/>
      <sheetName val="OL"/>
      <sheetName val="mapping"/>
      <sheetName val="Summary by Quar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">
          <cell r="S3">
            <v>1</v>
          </cell>
          <cell r="T3">
            <v>1</v>
          </cell>
          <cell r="U3">
            <v>0</v>
          </cell>
        </row>
        <row r="5">
          <cell r="S5" t="str">
            <v>M10</v>
          </cell>
          <cell r="T5" t="str">
            <v>M11</v>
          </cell>
          <cell r="U5" t="str">
            <v>M12</v>
          </cell>
        </row>
        <row r="6">
          <cell r="L6">
            <v>1406.473</v>
          </cell>
          <cell r="S6">
            <v>1238.3779</v>
          </cell>
          <cell r="T6">
            <v>1230.6235999999999</v>
          </cell>
          <cell r="U6">
            <v>0</v>
          </cell>
        </row>
        <row r="7">
          <cell r="L7">
            <v>28.564</v>
          </cell>
          <cell r="S7">
            <v>28.803000000000001</v>
          </cell>
          <cell r="T7">
            <v>24.721</v>
          </cell>
          <cell r="U7">
            <v>0</v>
          </cell>
        </row>
        <row r="8">
          <cell r="L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L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L10">
            <v>31.667000000000002</v>
          </cell>
          <cell r="S10">
            <v>28.884</v>
          </cell>
          <cell r="T10">
            <v>28.614000000000001</v>
          </cell>
          <cell r="U10">
            <v>0</v>
          </cell>
        </row>
        <row r="11">
          <cell r="L11">
            <v>0</v>
          </cell>
          <cell r="S11">
            <v>2E-3</v>
          </cell>
          <cell r="T11">
            <v>4.0000000000000001E-3</v>
          </cell>
          <cell r="U11">
            <v>0</v>
          </cell>
        </row>
        <row r="12">
          <cell r="L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L13">
            <v>0.625</v>
          </cell>
          <cell r="S13">
            <v>0.34899999999999998</v>
          </cell>
          <cell r="T13">
            <v>0.72699999999999998</v>
          </cell>
          <cell r="U13">
            <v>0</v>
          </cell>
        </row>
        <row r="18">
          <cell r="L18">
            <v>972.88695918759436</v>
          </cell>
          <cell r="S18">
            <v>867.43498238986717</v>
          </cell>
          <cell r="T18">
            <v>905.42756402582847</v>
          </cell>
          <cell r="U18">
            <v>0</v>
          </cell>
        </row>
        <row r="21">
          <cell r="L21">
            <v>-142.95642530000001</v>
          </cell>
          <cell r="S21">
            <v>-134.4247786</v>
          </cell>
          <cell r="T21">
            <v>-142.7528836999999</v>
          </cell>
          <cell r="U21">
            <v>0</v>
          </cell>
        </row>
        <row r="22">
          <cell r="L22">
            <v>829.93053388759438</v>
          </cell>
        </row>
        <row r="25">
          <cell r="L25">
            <v>-693.35564568688017</v>
          </cell>
          <cell r="S25">
            <v>-588.72719208662261</v>
          </cell>
          <cell r="T25">
            <v>-600.45761468169246</v>
          </cell>
          <cell r="U25">
            <v>0</v>
          </cell>
        </row>
        <row r="26">
          <cell r="L26">
            <v>136.57488820071421</v>
          </cell>
        </row>
        <row r="27">
          <cell r="L27">
            <v>0.14038104520874714</v>
          </cell>
        </row>
        <row r="28">
          <cell r="L28">
            <v>-23.077292290909099</v>
          </cell>
          <cell r="S28">
            <v>-26.612439853284165</v>
          </cell>
          <cell r="T28">
            <v>-27.3513924137931</v>
          </cell>
          <cell r="U28">
            <v>0</v>
          </cell>
        </row>
        <row r="29">
          <cell r="L29">
            <v>-0.15909600000000002</v>
          </cell>
          <cell r="S29">
            <v>-1.2445920000000001</v>
          </cell>
          <cell r="T29">
            <v>-1.3072075000000001</v>
          </cell>
          <cell r="U29">
            <v>0</v>
          </cell>
        </row>
        <row r="30">
          <cell r="L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L31">
            <v>-9.4293348000000137</v>
          </cell>
          <cell r="S31">
            <v>-8.6311958000000288</v>
          </cell>
          <cell r="T31">
            <v>-8.1543116999999903</v>
          </cell>
          <cell r="U31">
            <v>0</v>
          </cell>
        </row>
        <row r="32">
          <cell r="L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L33">
            <v>-11.569580245090913</v>
          </cell>
          <cell r="S33">
            <v>-12.553721652715831</v>
          </cell>
          <cell r="T33">
            <v>-12.588903107206917</v>
          </cell>
          <cell r="U33">
            <v>0</v>
          </cell>
        </row>
        <row r="34">
          <cell r="L34">
            <v>-44.235303336000023</v>
          </cell>
        </row>
        <row r="35">
          <cell r="L35">
            <v>-23.951743748909092</v>
          </cell>
          <cell r="S35">
            <v>-26.036586915000001</v>
          </cell>
          <cell r="T35">
            <v>-24.840268959862069</v>
          </cell>
          <cell r="U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</row>
        <row r="37">
          <cell r="L37">
            <v>-4.8106854510909081</v>
          </cell>
          <cell r="S37">
            <v>-5.7556091849999973</v>
          </cell>
          <cell r="T37">
            <v>-6.3003960401379331</v>
          </cell>
          <cell r="U37">
            <v>0</v>
          </cell>
        </row>
        <row r="38">
          <cell r="L38">
            <v>-28.7624292</v>
          </cell>
        </row>
        <row r="41">
          <cell r="L41">
            <v>-33.939043177999999</v>
          </cell>
          <cell r="S41">
            <v>-34.384496372999998</v>
          </cell>
          <cell r="T41">
            <v>-34.494877772000002</v>
          </cell>
          <cell r="U41">
            <v>0</v>
          </cell>
        </row>
        <row r="43">
          <cell r="L43">
            <v>1.052079276941204</v>
          </cell>
          <cell r="S43">
            <v>1.1941014209842464</v>
          </cell>
          <cell r="T43">
            <v>1.5389608073465981</v>
          </cell>
          <cell r="U43">
            <v>0</v>
          </cell>
        </row>
        <row r="44">
          <cell r="L44">
            <v>-32.886963901058792</v>
          </cell>
        </row>
        <row r="45">
          <cell r="L45">
            <v>-105.88469643705881</v>
          </cell>
        </row>
        <row r="46">
          <cell r="L46">
            <v>30.690191763655406</v>
          </cell>
        </row>
        <row r="47">
          <cell r="L47">
            <v>3.6979229598765526E-2</v>
          </cell>
        </row>
        <row r="54">
          <cell r="L54">
            <v>-27.709236999998488</v>
          </cell>
          <cell r="S54">
            <v>-14.941574100003102</v>
          </cell>
          <cell r="T54">
            <v>4.5787192000028369</v>
          </cell>
          <cell r="U54">
            <v>0</v>
          </cell>
        </row>
        <row r="56">
          <cell r="L56">
            <v>-7.4329570000000005E-3</v>
          </cell>
          <cell r="S56">
            <v>-3.5024863000000003E-2</v>
          </cell>
          <cell r="T56">
            <v>-5.9481298000000009E-2</v>
          </cell>
          <cell r="U56">
            <v>0</v>
          </cell>
        </row>
        <row r="58">
          <cell r="L58">
            <v>-0.80425389000000003</v>
          </cell>
          <cell r="S58">
            <v>-0.86099999999999999</v>
          </cell>
          <cell r="T58">
            <v>-0.78899999999999992</v>
          </cell>
          <cell r="U58">
            <v>0</v>
          </cell>
        </row>
        <row r="59">
          <cell r="L59">
            <v>-4.006431561090908</v>
          </cell>
          <cell r="S59">
            <v>-4.8946091849999975</v>
          </cell>
          <cell r="T59">
            <v>-5.5113960401379334</v>
          </cell>
          <cell r="U59">
            <v>0</v>
          </cell>
        </row>
        <row r="60">
          <cell r="L60">
            <v>-4.8106854510909081</v>
          </cell>
        </row>
        <row r="62">
          <cell r="L62">
            <v>-1.1950801823577795</v>
          </cell>
          <cell r="S62">
            <v>-0.2891209126082982</v>
          </cell>
          <cell r="T62">
            <v>-1.829214495511436</v>
          </cell>
          <cell r="U62">
            <v>0</v>
          </cell>
        </row>
        <row r="63">
          <cell r="L63">
            <v>24.88120383916127</v>
          </cell>
          <cell r="S63">
            <v>20.821520692376762</v>
          </cell>
          <cell r="T63">
            <v>24.501378873552966</v>
          </cell>
          <cell r="U63">
            <v>0</v>
          </cell>
        </row>
        <row r="64">
          <cell r="L64">
            <v>4.1163949669999997</v>
          </cell>
          <cell r="S64">
            <v>6.4000510820000009</v>
          </cell>
          <cell r="T64">
            <v>3.9312561799999983</v>
          </cell>
          <cell r="U64">
            <v>0</v>
          </cell>
        </row>
        <row r="65">
          <cell r="L65">
            <v>5.6592178242072579</v>
          </cell>
          <cell r="S65">
            <v>-1.9876000000000005</v>
          </cell>
          <cell r="T65">
            <v>-4.0091302001706541</v>
          </cell>
          <cell r="U65">
            <v>0</v>
          </cell>
        </row>
        <row r="66">
          <cell r="L66">
            <v>1.4279864052818758</v>
          </cell>
          <cell r="S66">
            <v>0.48476128947928415</v>
          </cell>
          <cell r="T66">
            <v>1.0830501742622869</v>
          </cell>
          <cell r="U66">
            <v>0</v>
          </cell>
        </row>
        <row r="67">
          <cell r="L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L68">
            <v>17.910946447000001</v>
          </cell>
          <cell r="S68">
            <v>12.553012989000001</v>
          </cell>
          <cell r="T68">
            <v>15.001153421</v>
          </cell>
          <cell r="U68">
            <v>0</v>
          </cell>
        </row>
        <row r="69">
          <cell r="L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L70">
            <v>3.5320670200000031</v>
          </cell>
          <cell r="S70">
            <v>3.2673819799999961</v>
          </cell>
          <cell r="T70">
            <v>3.5540942700000002</v>
          </cell>
          <cell r="U70">
            <v>0</v>
          </cell>
        </row>
        <row r="71">
          <cell r="L71">
            <v>0.61047119999999977</v>
          </cell>
          <cell r="S71">
            <v>0.88185000000000002</v>
          </cell>
          <cell r="T71">
            <v>-0.67235550000000011</v>
          </cell>
          <cell r="U71">
            <v>0</v>
          </cell>
        </row>
        <row r="72">
          <cell r="L72">
            <v>0.55400000000000005</v>
          </cell>
          <cell r="S72">
            <v>1.6693</v>
          </cell>
          <cell r="T72">
            <v>1.23</v>
          </cell>
          <cell r="U72">
            <v>0</v>
          </cell>
        </row>
        <row r="73">
          <cell r="L73">
            <v>0.90222124336119403</v>
          </cell>
          <cell r="S73">
            <v>1.3988883249842416</v>
          </cell>
          <cell r="T73">
            <v>1.3497170353466006</v>
          </cell>
          <cell r="U73">
            <v>0</v>
          </cell>
        </row>
        <row r="74">
          <cell r="L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L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L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L77">
            <v>0</v>
          </cell>
          <cell r="S77">
            <v>0</v>
          </cell>
          <cell r="T77">
            <v>0</v>
          </cell>
          <cell r="U77">
            <v>0</v>
          </cell>
        </row>
      </sheetData>
      <sheetData sheetId="33">
        <row r="3">
          <cell r="S3">
            <v>1</v>
          </cell>
          <cell r="T3">
            <v>1</v>
          </cell>
          <cell r="U3">
            <v>0</v>
          </cell>
        </row>
        <row r="6">
          <cell r="S6">
            <v>1281.398471814</v>
          </cell>
          <cell r="T6">
            <v>1233.350903433</v>
          </cell>
          <cell r="U6">
            <v>0</v>
          </cell>
        </row>
        <row r="7">
          <cell r="S7">
            <v>34.765999999999998</v>
          </cell>
          <cell r="T7">
            <v>35.582000000000001</v>
          </cell>
          <cell r="U7">
            <v>0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0</v>
          </cell>
        </row>
        <row r="10">
          <cell r="S10">
            <v>36.118000000000002</v>
          </cell>
          <cell r="T10">
            <v>36.347999999999999</v>
          </cell>
          <cell r="U10">
            <v>0</v>
          </cell>
        </row>
        <row r="11">
          <cell r="S11">
            <v>0</v>
          </cell>
          <cell r="T11">
            <v>0</v>
          </cell>
          <cell r="U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</row>
        <row r="13">
          <cell r="S13">
            <v>1.3220000000000001</v>
          </cell>
          <cell r="T13">
            <v>1.042</v>
          </cell>
          <cell r="U13">
            <v>0</v>
          </cell>
        </row>
        <row r="18">
          <cell r="S18">
            <v>1161.6573736139853</v>
          </cell>
          <cell r="T18">
            <v>1222.462947288413</v>
          </cell>
          <cell r="U18">
            <v>0</v>
          </cell>
        </row>
        <row r="21">
          <cell r="S21">
            <v>-156.66709878021899</v>
          </cell>
          <cell r="T21">
            <v>-162.04739701812673</v>
          </cell>
          <cell r="U21">
            <v>0</v>
          </cell>
        </row>
        <row r="25">
          <cell r="S25">
            <v>-825.35865608450729</v>
          </cell>
          <cell r="T25">
            <v>-880.08810629266452</v>
          </cell>
          <cell r="U25">
            <v>0</v>
          </cell>
        </row>
        <row r="28">
          <cell r="S28">
            <v>-30.45838521647638</v>
          </cell>
          <cell r="T28">
            <v>-30.048862830515542</v>
          </cell>
          <cell r="U28">
            <v>0</v>
          </cell>
        </row>
        <row r="29">
          <cell r="S29">
            <v>-6.0336043455409962</v>
          </cell>
          <cell r="T29">
            <v>-6.0477556862978021</v>
          </cell>
          <cell r="U29">
            <v>0</v>
          </cell>
        </row>
        <row r="30">
          <cell r="S30">
            <v>-1.0589537015111006E-2</v>
          </cell>
          <cell r="T30">
            <v>-1.0358472704396604E-2</v>
          </cell>
          <cell r="U30">
            <v>0</v>
          </cell>
        </row>
        <row r="31">
          <cell r="S31">
            <v>-12.167504675059304</v>
          </cell>
          <cell r="T31">
            <v>-11.297827359439397</v>
          </cell>
          <cell r="U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</row>
        <row r="33">
          <cell r="S33">
            <v>-14.490571491947156</v>
          </cell>
          <cell r="T33">
            <v>-14.60104221753153</v>
          </cell>
          <cell r="U33">
            <v>0</v>
          </cell>
        </row>
        <row r="35">
          <cell r="S35">
            <v>-31.223107475573446</v>
          </cell>
          <cell r="T35">
            <v>-25.706738071110678</v>
          </cell>
          <cell r="U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</row>
        <row r="37">
          <cell r="S37">
            <v>-5.3408660312446408</v>
          </cell>
          <cell r="T37">
            <v>-4.848834955707364</v>
          </cell>
          <cell r="U37">
            <v>0</v>
          </cell>
        </row>
        <row r="41">
          <cell r="S41">
            <v>-33.334538484000007</v>
          </cell>
          <cell r="T41">
            <v>-32.189423051000006</v>
          </cell>
          <cell r="U41">
            <v>0</v>
          </cell>
        </row>
        <row r="43">
          <cell r="S43">
            <v>2.9672614199656233</v>
          </cell>
          <cell r="T43">
            <v>2.9672614196324782</v>
          </cell>
          <cell r="U43">
            <v>0</v>
          </cell>
        </row>
        <row r="54">
          <cell r="S54">
            <v>-1.7825240696100764</v>
          </cell>
          <cell r="T54">
            <v>6.4636244441059461</v>
          </cell>
          <cell r="U54">
            <v>0</v>
          </cell>
        </row>
        <row r="56">
          <cell r="S56">
            <v>0</v>
          </cell>
          <cell r="T56">
            <v>0</v>
          </cell>
          <cell r="U56">
            <v>0</v>
          </cell>
        </row>
        <row r="58">
          <cell r="S58">
            <v>-1.2878602354265518</v>
          </cell>
          <cell r="T58">
            <v>-1.2011321528893206</v>
          </cell>
          <cell r="U58">
            <v>0</v>
          </cell>
        </row>
        <row r="59">
          <cell r="S59">
            <v>-4.0530057958180894</v>
          </cell>
          <cell r="T59">
            <v>-3.6477028028180434</v>
          </cell>
          <cell r="U59">
            <v>0</v>
          </cell>
        </row>
        <row r="62">
          <cell r="S62">
            <v>-2.0573639297491026</v>
          </cell>
          <cell r="T62">
            <v>-2.0473029461520333</v>
          </cell>
          <cell r="U62">
            <v>0</v>
          </cell>
        </row>
        <row r="63">
          <cell r="S63">
            <v>17.963961307721753</v>
          </cell>
          <cell r="T63">
            <v>17.715282174678119</v>
          </cell>
          <cell r="U63">
            <v>0</v>
          </cell>
        </row>
        <row r="64">
          <cell r="S64">
            <v>6.3783135999848906</v>
          </cell>
          <cell r="T64">
            <v>6.5421776642956075</v>
          </cell>
          <cell r="U64">
            <v>0</v>
          </cell>
        </row>
        <row r="65">
          <cell r="S65">
            <v>0</v>
          </cell>
          <cell r="T65">
            <v>0</v>
          </cell>
          <cell r="U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</row>
        <row r="68">
          <cell r="S68">
            <v>20.519229218</v>
          </cell>
          <cell r="T68">
            <v>21.44963383</v>
          </cell>
          <cell r="U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</row>
        <row r="70">
          <cell r="S70">
            <v>5.2297943999999985</v>
          </cell>
          <cell r="T70">
            <v>5.0681452</v>
          </cell>
          <cell r="U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</row>
        <row r="72">
          <cell r="S72">
            <v>0.82316</v>
          </cell>
          <cell r="T72">
            <v>0.88715999999999995</v>
          </cell>
          <cell r="U72">
            <v>0</v>
          </cell>
        </row>
        <row r="73">
          <cell r="S73">
            <v>2.4651423860199198</v>
          </cell>
          <cell r="T73">
            <v>2.4651423860199198</v>
          </cell>
          <cell r="U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</row>
      </sheetData>
      <sheetData sheetId="34">
        <row r="3">
          <cell r="S3">
            <v>1</v>
          </cell>
          <cell r="T3">
            <v>1</v>
          </cell>
          <cell r="U3">
            <v>0</v>
          </cell>
        </row>
        <row r="6">
          <cell r="S6">
            <v>1255.134</v>
          </cell>
          <cell r="T6">
            <v>1224.683</v>
          </cell>
          <cell r="U6">
            <v>0</v>
          </cell>
        </row>
        <row r="7">
          <cell r="S7">
            <v>31.613</v>
          </cell>
          <cell r="T7">
            <v>31.645</v>
          </cell>
          <cell r="U7">
            <v>0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0</v>
          </cell>
        </row>
        <row r="10">
          <cell r="S10">
            <v>28.094000000000001</v>
          </cell>
          <cell r="T10">
            <v>33.4</v>
          </cell>
          <cell r="U10">
            <v>0</v>
          </cell>
        </row>
        <row r="11">
          <cell r="S11">
            <v>1.0999999999999999E-2</v>
          </cell>
          <cell r="T11">
            <v>8.0000000000000002E-3</v>
          </cell>
          <cell r="U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</row>
        <row r="13">
          <cell r="S13">
            <v>0.75900000000000001</v>
          </cell>
          <cell r="T13">
            <v>0.85</v>
          </cell>
          <cell r="U13">
            <v>0</v>
          </cell>
        </row>
        <row r="18">
          <cell r="S18">
            <v>916.31424625114596</v>
          </cell>
          <cell r="T18">
            <v>1042.4731386127964</v>
          </cell>
          <cell r="U18">
            <v>0</v>
          </cell>
        </row>
        <row r="21">
          <cell r="S21">
            <v>-143.78218410000002</v>
          </cell>
          <cell r="T21">
            <v>-163.45916939999987</v>
          </cell>
          <cell r="U21">
            <v>0</v>
          </cell>
        </row>
        <row r="25">
          <cell r="S25">
            <v>-630.97209604436148</v>
          </cell>
          <cell r="T25">
            <v>-714.781088057641</v>
          </cell>
          <cell r="U25">
            <v>0</v>
          </cell>
        </row>
        <row r="28">
          <cell r="S28">
            <v>-36.400534906533125</v>
          </cell>
          <cell r="T28">
            <v>-34.143011226748555</v>
          </cell>
          <cell r="U28">
            <v>0</v>
          </cell>
        </row>
        <row r="29">
          <cell r="S29">
            <v>-5.3427997999999937</v>
          </cell>
          <cell r="T29">
            <v>-5.4030136000000057</v>
          </cell>
          <cell r="U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</row>
        <row r="31">
          <cell r="S31">
            <v>-7.3043687000000022</v>
          </cell>
          <cell r="T31">
            <v>-8.6691244000000367</v>
          </cell>
          <cell r="U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</row>
        <row r="33">
          <cell r="S33">
            <v>-9.8862858384668613</v>
          </cell>
          <cell r="T33">
            <v>-9.8213667512514515</v>
          </cell>
          <cell r="U33">
            <v>0</v>
          </cell>
        </row>
        <row r="35">
          <cell r="S35">
            <v>-29.037719057999997</v>
          </cell>
          <cell r="T35">
            <v>-28.215209445999999</v>
          </cell>
          <cell r="U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</row>
        <row r="37">
          <cell r="S37">
            <v>-4.3154530420000121</v>
          </cell>
          <cell r="T37">
            <v>-3.4837217540000189</v>
          </cell>
          <cell r="U37">
            <v>0</v>
          </cell>
        </row>
        <row r="41">
          <cell r="S41">
            <v>-39.808074235999996</v>
          </cell>
          <cell r="T41">
            <v>-36.815216778</v>
          </cell>
          <cell r="U41">
            <v>0</v>
          </cell>
        </row>
        <row r="43">
          <cell r="S43">
            <v>2.7949258952424012</v>
          </cell>
          <cell r="T43">
            <v>1.8210457557982509</v>
          </cell>
          <cell r="U43">
            <v>0</v>
          </cell>
        </row>
        <row r="54">
          <cell r="S54">
            <v>-48.705261599999638</v>
          </cell>
          <cell r="T54">
            <v>-27.698845799998935</v>
          </cell>
          <cell r="U54">
            <v>0</v>
          </cell>
        </row>
        <row r="56">
          <cell r="S56">
            <v>-5.8807732999999959E-2</v>
          </cell>
          <cell r="T56">
            <v>-6.4752796999999959E-2</v>
          </cell>
          <cell r="U56">
            <v>0</v>
          </cell>
        </row>
        <row r="58">
          <cell r="S58">
            <v>-1.605626</v>
          </cell>
          <cell r="T58">
            <v>-1.344217</v>
          </cell>
          <cell r="U58">
            <v>0</v>
          </cell>
        </row>
        <row r="59">
          <cell r="S59">
            <v>-2.7098270420000121</v>
          </cell>
          <cell r="T59">
            <v>-2.1395047540000189</v>
          </cell>
          <cell r="U59">
            <v>0</v>
          </cell>
        </row>
        <row r="62">
          <cell r="S62">
            <v>-1.4197714045076917</v>
          </cell>
          <cell r="T62">
            <v>-1.7189130779928081</v>
          </cell>
          <cell r="U62">
            <v>0</v>
          </cell>
        </row>
        <row r="63">
          <cell r="S63">
            <v>33.778944907592496</v>
          </cell>
          <cell r="T63">
            <v>37.394048359359708</v>
          </cell>
          <cell r="U63">
            <v>0</v>
          </cell>
        </row>
        <row r="64">
          <cell r="S64">
            <v>5.9974327239999994</v>
          </cell>
          <cell r="T64">
            <v>6.4193249829999957</v>
          </cell>
          <cell r="U64">
            <v>0</v>
          </cell>
        </row>
        <row r="65">
          <cell r="S65">
            <v>1.6316138274346592</v>
          </cell>
          <cell r="T65">
            <v>1.0512761239713377</v>
          </cell>
          <cell r="U65">
            <v>0</v>
          </cell>
        </row>
        <row r="66">
          <cell r="S66">
            <v>0.82103448583950589</v>
          </cell>
          <cell r="T66">
            <v>0.62064874497956501</v>
          </cell>
          <cell r="U66">
            <v>0</v>
          </cell>
        </row>
        <row r="67">
          <cell r="S67">
            <v>-1.5760963575000002E-2</v>
          </cell>
          <cell r="T67">
            <v>2.2854144836531348E-2</v>
          </cell>
          <cell r="U67">
            <v>0</v>
          </cell>
        </row>
        <row r="68">
          <cell r="S68">
            <v>12.806457585</v>
          </cell>
          <cell r="T68">
            <v>15.282943532999999</v>
          </cell>
          <cell r="U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</row>
        <row r="70">
          <cell r="S70">
            <v>3.5285989000000022</v>
          </cell>
          <cell r="T70">
            <v>3.6887386000000006</v>
          </cell>
          <cell r="U70">
            <v>0</v>
          </cell>
        </row>
        <row r="71">
          <cell r="S71">
            <v>0.59259000000000006</v>
          </cell>
          <cell r="T71">
            <v>1.5589891999999996</v>
          </cell>
          <cell r="U71">
            <v>0</v>
          </cell>
        </row>
        <row r="72">
          <cell r="S72">
            <v>0.99399999999999999</v>
          </cell>
          <cell r="T72">
            <v>0.576836766</v>
          </cell>
          <cell r="U72">
            <v>0</v>
          </cell>
        </row>
        <row r="73">
          <cell r="S73">
            <v>2.2497779592424516</v>
          </cell>
          <cell r="T73">
            <v>2.3053613777982336</v>
          </cell>
          <cell r="U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</row>
        <row r="76">
          <cell r="S76">
            <v>0</v>
          </cell>
          <cell r="T76">
            <v>0</v>
          </cell>
          <cell r="U76">
            <v>0</v>
          </cell>
        </row>
        <row r="77">
          <cell r="S77">
            <v>0</v>
          </cell>
          <cell r="T77">
            <v>0</v>
          </cell>
          <cell r="U77">
            <v>0</v>
          </cell>
        </row>
      </sheetData>
      <sheetData sheetId="35">
        <row r="3">
          <cell r="S3">
            <v>1</v>
          </cell>
          <cell r="T3">
            <v>1</v>
          </cell>
          <cell r="U3">
            <v>0</v>
          </cell>
        </row>
        <row r="6">
          <cell r="S6">
            <v>1261.0728018780001</v>
          </cell>
          <cell r="T6">
            <v>1233.257302109</v>
          </cell>
          <cell r="U6">
            <v>0</v>
          </cell>
        </row>
        <row r="7">
          <cell r="S7">
            <v>29.72</v>
          </cell>
          <cell r="T7">
            <v>31.792999999999999</v>
          </cell>
          <cell r="U7">
            <v>0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0</v>
          </cell>
        </row>
        <row r="10">
          <cell r="S10">
            <v>30.05</v>
          </cell>
          <cell r="T10">
            <v>35.488999999999997</v>
          </cell>
          <cell r="U10">
            <v>0</v>
          </cell>
        </row>
        <row r="11">
          <cell r="S11">
            <v>5.0000000000000001E-3</v>
          </cell>
          <cell r="T11">
            <v>7.0000000000000001E-3</v>
          </cell>
          <cell r="U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</row>
        <row r="13">
          <cell r="S13">
            <v>0.98099999999999998</v>
          </cell>
          <cell r="T13">
            <v>1.1080000000000001</v>
          </cell>
          <cell r="U13">
            <v>0</v>
          </cell>
        </row>
        <row r="18">
          <cell r="S18">
            <v>972.03011379459099</v>
          </cell>
          <cell r="T18">
            <v>1131.4637987576864</v>
          </cell>
          <cell r="U18">
            <v>0</v>
          </cell>
        </row>
        <row r="21">
          <cell r="S21">
            <v>-135.92402764255607</v>
          </cell>
          <cell r="T21">
            <v>-162.43910706469819</v>
          </cell>
          <cell r="U21">
            <v>0</v>
          </cell>
        </row>
        <row r="25">
          <cell r="S25">
            <v>-676.99132868426511</v>
          </cell>
          <cell r="T25">
            <v>-814.01261605990703</v>
          </cell>
          <cell r="U25">
            <v>0</v>
          </cell>
        </row>
        <row r="28">
          <cell r="S28">
            <v>-25.128230461665623</v>
          </cell>
          <cell r="T28">
            <v>-25.409152780533987</v>
          </cell>
          <cell r="U28">
            <v>0</v>
          </cell>
        </row>
        <row r="29">
          <cell r="S29">
            <v>-1.70289030821585</v>
          </cell>
          <cell r="T29">
            <v>-1.7733443304865499</v>
          </cell>
          <cell r="U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</row>
        <row r="31">
          <cell r="S31">
            <v>-9.171214139945004</v>
          </cell>
          <cell r="T31">
            <v>-9.7134592213744906</v>
          </cell>
          <cell r="U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  <cell r="AC32">
            <v>0</v>
          </cell>
        </row>
        <row r="33">
          <cell r="S33">
            <v>-12.931243323021524</v>
          </cell>
          <cell r="T33">
            <v>-14.859925576946152</v>
          </cell>
          <cell r="U33">
            <v>0</v>
          </cell>
        </row>
        <row r="35">
          <cell r="S35">
            <v>-26.743406856941725</v>
          </cell>
          <cell r="T35">
            <v>-26.007837216757952</v>
          </cell>
          <cell r="U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</row>
        <row r="37">
          <cell r="S37">
            <v>-6.6758651050582003</v>
          </cell>
          <cell r="T37">
            <v>-6.2196740392420473</v>
          </cell>
          <cell r="U37">
            <v>0</v>
          </cell>
        </row>
        <row r="41">
          <cell r="S41">
            <v>-28.667374469000006</v>
          </cell>
          <cell r="T41">
            <v>-27.967542151000004</v>
          </cell>
          <cell r="U41">
            <v>0</v>
          </cell>
        </row>
        <row r="43">
          <cell r="S43">
            <v>2.168065602974421</v>
          </cell>
          <cell r="T43">
            <v>2.1680656111712704</v>
          </cell>
          <cell r="U43">
            <v>0</v>
          </cell>
        </row>
        <row r="54">
          <cell r="S54">
            <v>-2.9721803495988723</v>
          </cell>
          <cell r="T54">
            <v>-6.3684385534043528</v>
          </cell>
          <cell r="U54">
            <v>0</v>
          </cell>
        </row>
        <row r="56">
          <cell r="S56">
            <v>-2.1830320000000007E-2</v>
          </cell>
          <cell r="T56">
            <v>-3.0350284000000012E-2</v>
          </cell>
          <cell r="U56">
            <v>0</v>
          </cell>
        </row>
        <row r="58">
          <cell r="S58">
            <v>-0.96017799999999998</v>
          </cell>
          <cell r="T58">
            <v>-0.77694099999999999</v>
          </cell>
          <cell r="U58">
            <v>0</v>
          </cell>
        </row>
        <row r="59">
          <cell r="S59">
            <v>-5.7156871050582003</v>
          </cell>
          <cell r="T59">
            <v>-5.4427330392420474</v>
          </cell>
          <cell r="U59">
            <v>0</v>
          </cell>
        </row>
        <row r="62">
          <cell r="S62">
            <v>-1.1949304757237191</v>
          </cell>
          <cell r="T62">
            <v>-1.4941437379146199</v>
          </cell>
          <cell r="U62">
            <v>0</v>
          </cell>
        </row>
        <row r="63">
          <cell r="S63">
            <v>15.868939719888314</v>
          </cell>
          <cell r="T63">
            <v>17.259652281681866</v>
          </cell>
          <cell r="U63">
            <v>0</v>
          </cell>
        </row>
        <row r="64">
          <cell r="S64">
            <v>6.2270678330000031</v>
          </cell>
          <cell r="T64">
            <v>4.2401773179999989</v>
          </cell>
          <cell r="U64">
            <v>0</v>
          </cell>
        </row>
        <row r="65">
          <cell r="S65">
            <v>7.7822434489757395</v>
          </cell>
          <cell r="T65">
            <v>6.925872097047483</v>
          </cell>
          <cell r="U65">
            <v>0</v>
          </cell>
        </row>
        <row r="66">
          <cell r="S66">
            <v>0.29731177323482316</v>
          </cell>
          <cell r="T66">
            <v>0.29970977714864327</v>
          </cell>
          <cell r="U66">
            <v>0</v>
          </cell>
        </row>
        <row r="67">
          <cell r="S67">
            <v>-6.6368971265194976E-2</v>
          </cell>
          <cell r="T67">
            <v>-0.41384201903275664</v>
          </cell>
          <cell r="U67">
            <v>0</v>
          </cell>
        </row>
        <row r="68">
          <cell r="S68">
            <v>17.836111566</v>
          </cell>
          <cell r="T68">
            <v>17.537220382000001</v>
          </cell>
          <cell r="U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</row>
        <row r="70">
          <cell r="S70">
            <v>3.797707994</v>
          </cell>
          <cell r="T70">
            <v>4.6423025139999989</v>
          </cell>
          <cell r="U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</row>
        <row r="72">
          <cell r="S72">
            <v>0.51400000000000001</v>
          </cell>
          <cell r="T72">
            <v>0.42799999999999999</v>
          </cell>
          <cell r="U72">
            <v>0</v>
          </cell>
        </row>
        <row r="73">
          <cell r="S73">
            <v>2.1726958683850643</v>
          </cell>
          <cell r="T73">
            <v>2.1726958683850643</v>
          </cell>
          <cell r="U73">
            <v>0</v>
          </cell>
        </row>
        <row r="74">
          <cell r="S74">
            <v>0</v>
          </cell>
          <cell r="T74">
            <v>0</v>
          </cell>
          <cell r="U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</row>
      </sheetData>
      <sheetData sheetId="36">
        <row r="3">
          <cell r="S3">
            <v>1</v>
          </cell>
          <cell r="T3">
            <v>1</v>
          </cell>
          <cell r="U3">
            <v>0</v>
          </cell>
          <cell r="AC3">
            <v>1</v>
          </cell>
        </row>
        <row r="6">
          <cell r="S6">
            <v>1265.3679999999999</v>
          </cell>
          <cell r="T6">
            <v>1239.261</v>
          </cell>
          <cell r="U6">
            <v>0</v>
          </cell>
          <cell r="AC6">
            <v>4279.8050000000003</v>
          </cell>
        </row>
        <row r="7">
          <cell r="S7">
            <v>29.241</v>
          </cell>
          <cell r="T7">
            <v>28.5</v>
          </cell>
          <cell r="U7">
            <v>0</v>
          </cell>
          <cell r="AC7">
            <v>105.196</v>
          </cell>
        </row>
        <row r="8">
          <cell r="S8">
            <v>0</v>
          </cell>
          <cell r="T8">
            <v>0</v>
          </cell>
          <cell r="U8">
            <v>0</v>
          </cell>
          <cell r="AC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AC9">
            <v>0</v>
          </cell>
        </row>
        <row r="10">
          <cell r="S10">
            <v>28.492999999999999</v>
          </cell>
          <cell r="T10">
            <v>32.271000000000001</v>
          </cell>
          <cell r="U10">
            <v>0</v>
          </cell>
          <cell r="AC10">
            <v>107.63399999999999</v>
          </cell>
        </row>
        <row r="11">
          <cell r="S11">
            <v>1.4E-2</v>
          </cell>
          <cell r="T11">
            <v>1.9E-2</v>
          </cell>
          <cell r="U11">
            <v>0</v>
          </cell>
          <cell r="AC11">
            <v>6.0999999999999999E-2</v>
          </cell>
        </row>
        <row r="12">
          <cell r="S12">
            <v>0</v>
          </cell>
          <cell r="T12">
            <v>0</v>
          </cell>
          <cell r="U12">
            <v>0</v>
          </cell>
          <cell r="AC12">
            <v>0</v>
          </cell>
        </row>
        <row r="13">
          <cell r="S13">
            <v>1.0720000000000001</v>
          </cell>
          <cell r="T13">
            <v>0.72299999999999998</v>
          </cell>
          <cell r="U13">
            <v>0</v>
          </cell>
          <cell r="AC13">
            <v>2.3839999999999999</v>
          </cell>
        </row>
        <row r="18">
          <cell r="S18">
            <v>911.20953238443497</v>
          </cell>
          <cell r="T18">
            <v>1010.9437166237826</v>
          </cell>
          <cell r="U18">
            <v>0</v>
          </cell>
          <cell r="AC18">
            <v>3313.6771300840082</v>
          </cell>
        </row>
        <row r="21">
          <cell r="S21">
            <v>-135.8888889597298</v>
          </cell>
          <cell r="T21">
            <v>-142.92732328860322</v>
          </cell>
          <cell r="U21">
            <v>0</v>
          </cell>
          <cell r="AC21">
            <v>-481.20338392226734</v>
          </cell>
        </row>
        <row r="25">
          <cell r="S25">
            <v>-615.02367710229544</v>
          </cell>
          <cell r="T25">
            <v>-697.13003427259321</v>
          </cell>
          <cell r="U25">
            <v>0</v>
          </cell>
          <cell r="AC25">
            <v>-2272.6964318384817</v>
          </cell>
        </row>
        <row r="28">
          <cell r="S28">
            <v>-27.014485888710098</v>
          </cell>
          <cell r="T28">
            <v>-25.483146405433015</v>
          </cell>
          <cell r="U28">
            <v>0</v>
          </cell>
          <cell r="AC28">
            <v>-76.523762718681297</v>
          </cell>
        </row>
        <row r="29">
          <cell r="S29">
            <v>-1.1801973059963797</v>
          </cell>
          <cell r="T29">
            <v>-1.1223189541041301</v>
          </cell>
          <cell r="U29">
            <v>0</v>
          </cell>
          <cell r="AC29">
            <v>-3.5493797531783602</v>
          </cell>
        </row>
        <row r="30">
          <cell r="S30">
            <v>0</v>
          </cell>
          <cell r="T30">
            <v>0</v>
          </cell>
          <cell r="U30">
            <v>0</v>
          </cell>
          <cell r="AC30">
            <v>0</v>
          </cell>
        </row>
        <row r="31">
          <cell r="S31">
            <v>-6.6166432820694459</v>
          </cell>
          <cell r="T31">
            <v>-8.2443960160479772</v>
          </cell>
          <cell r="U31">
            <v>0</v>
          </cell>
          <cell r="AC31">
            <v>-21.783652969923306</v>
          </cell>
        </row>
        <row r="33">
          <cell r="S33">
            <v>-12.620054813911782</v>
          </cell>
          <cell r="T33">
            <v>-13.588403332553053</v>
          </cell>
          <cell r="U33">
            <v>0</v>
          </cell>
          <cell r="AC33">
            <v>-39.47926050474944</v>
          </cell>
        </row>
        <row r="35">
          <cell r="S35">
            <v>-27.921033840167748</v>
          </cell>
          <cell r="T35">
            <v>-27.974090143205057</v>
          </cell>
          <cell r="U35">
            <v>0</v>
          </cell>
          <cell r="AC35">
            <v>-77.35934669377572</v>
          </cell>
        </row>
        <row r="36">
          <cell r="S36">
            <v>0</v>
          </cell>
          <cell r="T36">
            <v>0</v>
          </cell>
          <cell r="U36">
            <v>0</v>
          </cell>
          <cell r="AC36">
            <v>0</v>
          </cell>
        </row>
        <row r="37">
          <cell r="S37">
            <v>-6.3429018225277893</v>
          </cell>
          <cell r="T37">
            <v>-5.9238731464888978</v>
          </cell>
          <cell r="U37">
            <v>0</v>
          </cell>
          <cell r="AC37">
            <v>-21.949220579307489</v>
          </cell>
        </row>
        <row r="41">
          <cell r="S41">
            <v>-32.881812816999997</v>
          </cell>
          <cell r="T41">
            <v>-32.015299488000004</v>
          </cell>
          <cell r="U41">
            <v>0</v>
          </cell>
          <cell r="AC41">
            <v>-94.791248245000006</v>
          </cell>
        </row>
        <row r="43">
          <cell r="S43">
            <v>1.5284342716072121</v>
          </cell>
          <cell r="T43">
            <v>1.5284342684476986</v>
          </cell>
          <cell r="U43">
            <v>0</v>
          </cell>
          <cell r="AC43">
            <v>4.5390001255980916</v>
          </cell>
        </row>
        <row r="54">
          <cell r="S54">
            <v>12.437199408994829</v>
          </cell>
          <cell r="T54">
            <v>20.710169842295755</v>
          </cell>
          <cell r="U54">
            <v>0</v>
          </cell>
          <cell r="AC54">
            <v>101.13467465698902</v>
          </cell>
        </row>
        <row r="56">
          <cell r="S56">
            <v>-0.17499667600000002</v>
          </cell>
          <cell r="T56">
            <v>-0.23693095199999997</v>
          </cell>
          <cell r="U56">
            <v>0</v>
          </cell>
          <cell r="AC56">
            <v>-0.75970874099999985</v>
          </cell>
        </row>
        <row r="58">
          <cell r="S58">
            <v>-1.2003731405630853</v>
          </cell>
          <cell r="T58">
            <v>-1.0695394895257728</v>
          </cell>
          <cell r="U58">
            <v>0</v>
          </cell>
          <cell r="AC58">
            <v>-6.0421470930234467</v>
          </cell>
        </row>
        <row r="59">
          <cell r="S59">
            <v>-5.1425286819647038</v>
          </cell>
          <cell r="T59">
            <v>-4.8543336569631252</v>
          </cell>
          <cell r="U59">
            <v>0</v>
          </cell>
          <cell r="AC59">
            <v>-15.907073486284045</v>
          </cell>
        </row>
        <row r="62">
          <cell r="S62">
            <v>-2.1581402004738646</v>
          </cell>
          <cell r="T62">
            <v>-1.1511476073611397</v>
          </cell>
          <cell r="U62">
            <v>0</v>
          </cell>
          <cell r="AC62">
            <v>-4.2715757860079107</v>
          </cell>
        </row>
        <row r="63">
          <cell r="S63">
            <v>14.124424457282904</v>
          </cell>
          <cell r="T63">
            <v>17.24431347409902</v>
          </cell>
          <cell r="U63">
            <v>0</v>
          </cell>
          <cell r="AC63">
            <v>56.820423283167763</v>
          </cell>
        </row>
        <row r="64">
          <cell r="S64">
            <v>6.2490244349999973</v>
          </cell>
          <cell r="T64">
            <v>3.9806944980000001</v>
          </cell>
          <cell r="U64">
            <v>0</v>
          </cell>
          <cell r="AC64">
            <v>18.178972518999995</v>
          </cell>
        </row>
        <row r="65">
          <cell r="S65">
            <v>-2.8244347497484688</v>
          </cell>
          <cell r="T65">
            <v>-2.9262680435165569</v>
          </cell>
          <cell r="U65">
            <v>0</v>
          </cell>
          <cell r="AC65">
            <v>-9.0359723120341879</v>
          </cell>
        </row>
        <row r="66">
          <cell r="S66">
            <v>0</v>
          </cell>
          <cell r="T66">
            <v>0</v>
          </cell>
          <cell r="U66">
            <v>0</v>
          </cell>
          <cell r="AC66">
            <v>0</v>
          </cell>
        </row>
        <row r="67">
          <cell r="S67">
            <v>0.10179888007643338</v>
          </cell>
          <cell r="T67">
            <v>-0.15643374681730879</v>
          </cell>
          <cell r="U67">
            <v>0</v>
          </cell>
          <cell r="AC67">
            <v>-0.2124129983786881</v>
          </cell>
        </row>
        <row r="68">
          <cell r="S68">
            <v>13.635269458</v>
          </cell>
          <cell r="T68">
            <v>14.511940224</v>
          </cell>
          <cell r="U68">
            <v>0</v>
          </cell>
          <cell r="AC68">
            <v>45.667584814000001</v>
          </cell>
        </row>
        <row r="69">
          <cell r="S69">
            <v>0</v>
          </cell>
          <cell r="T69">
            <v>0</v>
          </cell>
          <cell r="U69">
            <v>0</v>
          </cell>
          <cell r="AC69">
            <v>0</v>
          </cell>
        </row>
        <row r="70">
          <cell r="S70">
            <v>3.6370646039999999</v>
          </cell>
          <cell r="T70">
            <v>4.193932674</v>
          </cell>
          <cell r="U70">
            <v>0</v>
          </cell>
          <cell r="AC70">
            <v>14.256555215999999</v>
          </cell>
        </row>
        <row r="71">
          <cell r="S71">
            <v>0</v>
          </cell>
          <cell r="T71">
            <v>0</v>
          </cell>
          <cell r="U71">
            <v>0</v>
          </cell>
          <cell r="AC71">
            <v>0</v>
          </cell>
        </row>
        <row r="72">
          <cell r="S72">
            <v>0.51300000000000001</v>
          </cell>
          <cell r="T72">
            <v>0.123</v>
          </cell>
          <cell r="U72">
            <v>0</v>
          </cell>
          <cell r="AC72">
            <v>1.7429999999999999</v>
          </cell>
        </row>
        <row r="73">
          <cell r="S73">
            <v>1.5330645305018482</v>
          </cell>
          <cell r="T73">
            <v>1.5330645305018482</v>
          </cell>
          <cell r="U73">
            <v>0</v>
          </cell>
          <cell r="AC73">
            <v>4.5991935915055446</v>
          </cell>
        </row>
        <row r="74">
          <cell r="S74">
            <v>0</v>
          </cell>
          <cell r="T74">
            <v>0</v>
          </cell>
          <cell r="U74">
            <v>0</v>
          </cell>
          <cell r="AC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AC75">
            <v>0</v>
          </cell>
        </row>
      </sheetData>
      <sheetData sheetId="37"/>
      <sheetData sheetId="38"/>
      <sheetData sheetId="39">
        <row r="3">
          <cell r="S3">
            <v>1</v>
          </cell>
          <cell r="T3">
            <v>1</v>
          </cell>
          <cell r="U3">
            <v>0</v>
          </cell>
        </row>
        <row r="6">
          <cell r="S6">
            <v>1259.2919999999999</v>
          </cell>
          <cell r="T6">
            <v>1220.4190000000001</v>
          </cell>
          <cell r="U6">
            <v>0</v>
          </cell>
          <cell r="AA6">
            <v>3738.5280000000002</v>
          </cell>
        </row>
        <row r="7">
          <cell r="S7">
            <v>30.501999999999999</v>
          </cell>
          <cell r="T7">
            <v>33.302999999999997</v>
          </cell>
          <cell r="U7">
            <v>0</v>
          </cell>
          <cell r="AA7">
            <v>80.376000000000005</v>
          </cell>
        </row>
        <row r="8">
          <cell r="S8">
            <v>0</v>
          </cell>
          <cell r="T8">
            <v>0</v>
          </cell>
          <cell r="U8">
            <v>0</v>
          </cell>
          <cell r="AA8">
            <v>0</v>
          </cell>
        </row>
        <row r="9">
          <cell r="S9">
            <v>0</v>
          </cell>
          <cell r="T9">
            <v>0</v>
          </cell>
          <cell r="U9">
            <v>0</v>
          </cell>
          <cell r="AA9">
            <v>0</v>
          </cell>
        </row>
        <row r="10">
          <cell r="S10">
            <v>31.186</v>
          </cell>
          <cell r="T10">
            <v>36.509</v>
          </cell>
          <cell r="U10">
            <v>0</v>
          </cell>
          <cell r="AA10">
            <v>76.488</v>
          </cell>
        </row>
        <row r="11">
          <cell r="S11">
            <v>0</v>
          </cell>
          <cell r="T11">
            <v>0</v>
          </cell>
          <cell r="U11">
            <v>0</v>
          </cell>
          <cell r="AA11">
            <v>3.2000000000000001E-2</v>
          </cell>
        </row>
        <row r="12">
          <cell r="S12">
            <v>0</v>
          </cell>
          <cell r="T12">
            <v>0</v>
          </cell>
          <cell r="U12">
            <v>0</v>
          </cell>
          <cell r="AA12">
            <v>0</v>
          </cell>
        </row>
        <row r="13">
          <cell r="S13">
            <v>1.534</v>
          </cell>
          <cell r="T13">
            <v>1.28</v>
          </cell>
          <cell r="U13">
            <v>0</v>
          </cell>
          <cell r="AA13">
            <v>2.6859999999999999</v>
          </cell>
        </row>
        <row r="18">
          <cell r="S18">
            <v>1044.632340268377</v>
          </cell>
          <cell r="T18">
            <v>1227.7206516251183</v>
          </cell>
          <cell r="U18">
            <v>0</v>
          </cell>
          <cell r="AA18">
            <v>2654.6861493172946</v>
          </cell>
        </row>
        <row r="21">
          <cell r="S21">
            <v>-138.18967518036217</v>
          </cell>
          <cell r="T21">
            <v>-167.86348977568605</v>
          </cell>
          <cell r="U21">
            <v>0</v>
          </cell>
          <cell r="AA21">
            <v>-372.76107930345961</v>
          </cell>
        </row>
        <row r="22">
          <cell r="AA22">
            <v>2281.925070013835</v>
          </cell>
        </row>
        <row r="25">
          <cell r="S25" t="e">
            <v>#VALUE!</v>
          </cell>
          <cell r="T25" t="e">
            <v>#VALUE!</v>
          </cell>
          <cell r="U25">
            <v>0</v>
          </cell>
          <cell r="AA25" t="e">
            <v>#VALUE!</v>
          </cell>
        </row>
        <row r="26">
          <cell r="AA26" t="e">
            <v>#VALUE!</v>
          </cell>
        </row>
        <row r="27">
          <cell r="AA27">
            <v>0</v>
          </cell>
        </row>
        <row r="28">
          <cell r="S28">
            <v>-25.136963017400159</v>
          </cell>
          <cell r="T28">
            <v>-25.445903540629683</v>
          </cell>
          <cell r="U28">
            <v>0</v>
          </cell>
          <cell r="AA28">
            <v>-77.884930551539995</v>
          </cell>
        </row>
        <row r="29">
          <cell r="S29">
            <v>-2.0189061095458101</v>
          </cell>
          <cell r="T29">
            <v>-2.0293242128863995</v>
          </cell>
          <cell r="U29">
            <v>0</v>
          </cell>
          <cell r="AA29">
            <v>-0.44583332916971252</v>
          </cell>
        </row>
        <row r="30">
          <cell r="S30">
            <v>0</v>
          </cell>
          <cell r="T30">
            <v>0</v>
          </cell>
          <cell r="U30">
            <v>0</v>
          </cell>
          <cell r="AA30">
            <v>0</v>
          </cell>
        </row>
        <row r="31">
          <cell r="S31">
            <v>-8.1156673102168853</v>
          </cell>
          <cell r="T31">
            <v>-8.9991257791385877</v>
          </cell>
          <cell r="U31">
            <v>0</v>
          </cell>
          <cell r="AA31">
            <v>-25.760772365719085</v>
          </cell>
        </row>
        <row r="32">
          <cell r="S32">
            <v>0</v>
          </cell>
          <cell r="T32">
            <v>0</v>
          </cell>
          <cell r="U32">
            <v>0</v>
          </cell>
          <cell r="AA32">
            <v>0</v>
          </cell>
        </row>
        <row r="33">
          <cell r="S33">
            <v>-13.123289155730117</v>
          </cell>
          <cell r="T33">
            <v>-14.914682200229992</v>
          </cell>
          <cell r="U33">
            <v>0</v>
          </cell>
          <cell r="AA33">
            <v>-32.945411274622167</v>
          </cell>
        </row>
        <row r="34">
          <cell r="AA34">
            <v>-137.03694752105096</v>
          </cell>
        </row>
        <row r="35">
          <cell r="S35">
            <v>-26.875596955986218</v>
          </cell>
          <cell r="T35">
            <v>-22.979419342522469</v>
          </cell>
          <cell r="U35">
            <v>0</v>
          </cell>
          <cell r="AA35">
            <v>-85.602170585890121</v>
          </cell>
        </row>
        <row r="36">
          <cell r="S36">
            <v>0</v>
          </cell>
          <cell r="T36">
            <v>0</v>
          </cell>
          <cell r="U36">
            <v>0</v>
          </cell>
          <cell r="AA36">
            <v>0</v>
          </cell>
        </row>
        <row r="37">
          <cell r="S37">
            <v>-7.0793460150137477</v>
          </cell>
          <cell r="T37">
            <v>-6.7743589784775331</v>
          </cell>
          <cell r="U37">
            <v>0</v>
          </cell>
          <cell r="AA37">
            <v>-22.866055164109774</v>
          </cell>
        </row>
        <row r="38">
          <cell r="AA38">
            <v>-108.4682257499999</v>
          </cell>
        </row>
        <row r="41">
          <cell r="S41">
            <v>-27.899405575999999</v>
          </cell>
          <cell r="T41">
            <v>-26.567381841000003</v>
          </cell>
          <cell r="U41">
            <v>0</v>
          </cell>
          <cell r="AA41">
            <v>-92.724437824999995</v>
          </cell>
        </row>
        <row r="43">
          <cell r="S43">
            <v>1.6484440717881861</v>
          </cell>
          <cell r="T43">
            <v>1.6484440683192347</v>
          </cell>
          <cell r="U43">
            <v>0</v>
          </cell>
          <cell r="AA43">
            <v>4.9453322180245181</v>
          </cell>
        </row>
        <row r="44">
          <cell r="AA44">
            <v>-87.779105606975477</v>
          </cell>
        </row>
        <row r="45">
          <cell r="AA45">
            <v>-333.28427887802638</v>
          </cell>
        </row>
        <row r="46">
          <cell r="AA46" t="e">
            <v>#VALUE!</v>
          </cell>
        </row>
        <row r="47">
          <cell r="AA47" t="e">
            <v>#VALUE!</v>
          </cell>
        </row>
        <row r="54">
          <cell r="S54">
            <v>56.477944882371091</v>
          </cell>
          <cell r="T54">
            <v>45.467958636068985</v>
          </cell>
          <cell r="U54">
            <v>0</v>
          </cell>
          <cell r="AA54">
            <v>-35.984671931108444</v>
          </cell>
        </row>
        <row r="56">
          <cell r="S56">
            <v>0</v>
          </cell>
          <cell r="T56">
            <v>0</v>
          </cell>
          <cell r="U56">
            <v>0</v>
          </cell>
          <cell r="AA56">
            <v>-0.21429378500000004</v>
          </cell>
        </row>
        <row r="58">
          <cell r="S58">
            <v>-0.91272317506350342</v>
          </cell>
          <cell r="T58">
            <v>-0.97785548773626207</v>
          </cell>
          <cell r="U58">
            <v>0</v>
          </cell>
          <cell r="AA58">
            <v>-4.4879116145971105</v>
          </cell>
        </row>
        <row r="59">
          <cell r="S59">
            <v>-6.1666228399502447</v>
          </cell>
          <cell r="T59">
            <v>-5.7965034907412711</v>
          </cell>
          <cell r="U59">
            <v>0</v>
          </cell>
          <cell r="AA59">
            <v>-18.378143549512664</v>
          </cell>
        </row>
        <row r="60">
          <cell r="AA60">
            <v>-22.866055164109774</v>
          </cell>
        </row>
        <row r="62">
          <cell r="S62">
            <v>-1.9396369980707124</v>
          </cell>
          <cell r="T62">
            <v>-1.821422300297197</v>
          </cell>
          <cell r="U62">
            <v>0</v>
          </cell>
          <cell r="AA62">
            <v>-6.0411989332484577</v>
          </cell>
        </row>
        <row r="63">
          <cell r="S63" t="e">
            <v>#VALUE!</v>
          </cell>
          <cell r="T63" t="e">
            <v>#VALUE!</v>
          </cell>
          <cell r="U63">
            <v>0</v>
          </cell>
          <cell r="AA63" t="e">
            <v>#VALUE!</v>
          </cell>
        </row>
        <row r="64">
          <cell r="S64">
            <v>7.3968599700000013</v>
          </cell>
          <cell r="T64">
            <v>4.8351443089999986</v>
          </cell>
          <cell r="U64">
            <v>0</v>
          </cell>
          <cell r="AA64">
            <v>7.8481605319999979</v>
          </cell>
        </row>
        <row r="65">
          <cell r="S65">
            <v>0</v>
          </cell>
          <cell r="T65">
            <v>0</v>
          </cell>
          <cell r="U65">
            <v>0</v>
          </cell>
          <cell r="AA65">
            <v>0</v>
          </cell>
        </row>
        <row r="66">
          <cell r="S66">
            <v>0</v>
          </cell>
          <cell r="T66">
            <v>0</v>
          </cell>
          <cell r="U66">
            <v>0</v>
          </cell>
          <cell r="AA66">
            <v>0</v>
          </cell>
        </row>
        <row r="67">
          <cell r="S67">
            <v>0</v>
          </cell>
          <cell r="T67">
            <v>0</v>
          </cell>
          <cell r="U67">
            <v>0</v>
          </cell>
          <cell r="AA67">
            <v>0</v>
          </cell>
        </row>
        <row r="68">
          <cell r="S68">
            <v>17.941407117000001</v>
          </cell>
          <cell r="T68">
            <v>18.519904482000001</v>
          </cell>
          <cell r="U68">
            <v>0</v>
          </cell>
          <cell r="AA68">
            <v>37.564025657000002</v>
          </cell>
        </row>
        <row r="69">
          <cell r="S69">
            <v>0</v>
          </cell>
          <cell r="T69">
            <v>0</v>
          </cell>
          <cell r="U69">
            <v>0</v>
          </cell>
          <cell r="AA69">
            <v>0</v>
          </cell>
        </row>
        <row r="70">
          <cell r="S70">
            <v>4.4592616499999993</v>
          </cell>
          <cell r="T70">
            <v>5.2592405499999995</v>
          </cell>
          <cell r="U70">
            <v>0</v>
          </cell>
          <cell r="AA70">
            <v>9.3317245</v>
          </cell>
        </row>
        <row r="71">
          <cell r="S71">
            <v>0</v>
          </cell>
          <cell r="T71">
            <v>0</v>
          </cell>
          <cell r="U71">
            <v>0</v>
          </cell>
          <cell r="AA71">
            <v>0</v>
          </cell>
        </row>
        <row r="72">
          <cell r="S72">
            <v>0.82316</v>
          </cell>
          <cell r="T72">
            <v>0.88715999999999995</v>
          </cell>
          <cell r="U72">
            <v>0</v>
          </cell>
          <cell r="AA72">
            <v>1.6814799999999999</v>
          </cell>
        </row>
        <row r="73">
          <cell r="S73">
            <v>1.6530742662997739</v>
          </cell>
          <cell r="T73">
            <v>1.6530742662997739</v>
          </cell>
          <cell r="U73">
            <v>0</v>
          </cell>
          <cell r="AA73">
            <v>4.9592227988993223</v>
          </cell>
        </row>
        <row r="74">
          <cell r="S74">
            <v>0</v>
          </cell>
          <cell r="T74">
            <v>0</v>
          </cell>
          <cell r="U74">
            <v>0</v>
          </cell>
          <cell r="AA74">
            <v>0</v>
          </cell>
        </row>
        <row r="75">
          <cell r="S75">
            <v>0</v>
          </cell>
          <cell r="T75">
            <v>0</v>
          </cell>
          <cell r="U75">
            <v>0</v>
          </cell>
          <cell r="AA75">
            <v>0</v>
          </cell>
        </row>
        <row r="76">
          <cell r="S76">
            <v>0</v>
          </cell>
          <cell r="T76">
            <v>0</v>
          </cell>
          <cell r="U76">
            <v>0</v>
          </cell>
          <cell r="AA76">
            <v>0</v>
          </cell>
        </row>
        <row r="77">
          <cell r="S77">
            <v>0</v>
          </cell>
          <cell r="T77">
            <v>0</v>
          </cell>
          <cell r="U77">
            <v>0</v>
          </cell>
          <cell r="AA77">
            <v>0</v>
          </cell>
        </row>
      </sheetData>
      <sheetData sheetId="40">
        <row r="3">
          <cell r="S3">
            <v>1</v>
          </cell>
          <cell r="T3">
            <v>1</v>
          </cell>
          <cell r="U3">
            <v>0</v>
          </cell>
        </row>
        <row r="6">
          <cell r="S6">
            <v>1238.3779</v>
          </cell>
          <cell r="T6">
            <v>1315.1610000000001</v>
          </cell>
          <cell r="U6">
            <v>0</v>
          </cell>
        </row>
        <row r="7">
          <cell r="S7">
            <v>28.803000000000001</v>
          </cell>
          <cell r="T7">
            <v>23.689</v>
          </cell>
          <cell r="U7">
            <v>0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0</v>
          </cell>
        </row>
        <row r="10">
          <cell r="S10">
            <v>28.884</v>
          </cell>
          <cell r="T10">
            <v>32.723999999999997</v>
          </cell>
          <cell r="U10">
            <v>0</v>
          </cell>
        </row>
        <row r="11">
          <cell r="S11">
            <v>2E-3</v>
          </cell>
          <cell r="T11">
            <v>0</v>
          </cell>
          <cell r="U11">
            <v>0</v>
          </cell>
        </row>
        <row r="12">
          <cell r="S12">
            <v>0</v>
          </cell>
          <cell r="T12">
            <v>0</v>
          </cell>
          <cell r="U12">
            <v>0</v>
          </cell>
        </row>
        <row r="13">
          <cell r="S13">
            <v>0.34899999999999998</v>
          </cell>
          <cell r="T13">
            <v>0.86699999999999999</v>
          </cell>
          <cell r="U13">
            <v>0</v>
          </cell>
        </row>
        <row r="18">
          <cell r="S18">
            <v>867.43498238986717</v>
          </cell>
          <cell r="T18">
            <v>998.88562123033262</v>
          </cell>
          <cell r="U18">
            <v>0</v>
          </cell>
        </row>
        <row r="21">
          <cell r="S21">
            <v>-134.4247786</v>
          </cell>
          <cell r="T21">
            <v>-142.08356370906142</v>
          </cell>
          <cell r="U21">
            <v>0</v>
          </cell>
        </row>
        <row r="25">
          <cell r="S25">
            <v>-588.72719208662261</v>
          </cell>
          <cell r="T25">
            <v>-715.65292210596147</v>
          </cell>
          <cell r="U25">
            <v>0</v>
          </cell>
        </row>
        <row r="28">
          <cell r="S28">
            <v>-26.612439853284165</v>
          </cell>
          <cell r="T28">
            <v>-27.002141398786573</v>
          </cell>
          <cell r="U28">
            <v>0</v>
          </cell>
        </row>
        <row r="29">
          <cell r="S29">
            <v>-1.2445920000000001</v>
          </cell>
          <cell r="T29">
            <v>-0.42220004250792786</v>
          </cell>
          <cell r="U29">
            <v>0</v>
          </cell>
        </row>
        <row r="30">
          <cell r="S30">
            <v>0</v>
          </cell>
          <cell r="T30">
            <v>0</v>
          </cell>
          <cell r="U30">
            <v>0</v>
          </cell>
        </row>
        <row r="31">
          <cell r="S31">
            <v>-8.6311958000000288</v>
          </cell>
          <cell r="T31">
            <v>-5.8328414206739323</v>
          </cell>
          <cell r="U31">
            <v>0</v>
          </cell>
        </row>
        <row r="32">
          <cell r="S32">
            <v>0</v>
          </cell>
          <cell r="T32">
            <v>0</v>
          </cell>
          <cell r="U32">
            <v>0</v>
          </cell>
        </row>
        <row r="33">
          <cell r="S33">
            <v>-12.553721652715829</v>
          </cell>
          <cell r="T33">
            <v>-19.115940716790718</v>
          </cell>
          <cell r="U33">
            <v>0</v>
          </cell>
        </row>
        <row r="35">
          <cell r="S35">
            <v>-26.036586915000001</v>
          </cell>
          <cell r="T35">
            <v>-29.103860806038227</v>
          </cell>
          <cell r="U35">
            <v>0</v>
          </cell>
        </row>
        <row r="36">
          <cell r="S36">
            <v>0</v>
          </cell>
          <cell r="T36">
            <v>0</v>
          </cell>
          <cell r="U36">
            <v>0</v>
          </cell>
        </row>
        <row r="37">
          <cell r="S37">
            <v>-5.7556091849999937</v>
          </cell>
          <cell r="T37">
            <v>-5.8986338421293887</v>
          </cell>
          <cell r="U37">
            <v>0</v>
          </cell>
        </row>
        <row r="41">
          <cell r="S41">
            <v>-34.384496372999998</v>
          </cell>
          <cell r="T41">
            <v>-32.015299488000004</v>
          </cell>
          <cell r="U41">
            <v>0</v>
          </cell>
        </row>
        <row r="43">
          <cell r="S43">
            <v>1.1941014209842464</v>
          </cell>
          <cell r="T43">
            <v>1.5284342684476986</v>
          </cell>
          <cell r="U43">
            <v>0</v>
          </cell>
        </row>
        <row r="54">
          <cell r="S54">
            <v>-14.941574100003159</v>
          </cell>
          <cell r="T54">
            <v>-36.937774523260757</v>
          </cell>
          <cell r="U54">
            <v>0</v>
          </cell>
        </row>
        <row r="56">
          <cell r="S56">
            <v>0</v>
          </cell>
          <cell r="T56">
            <v>0</v>
          </cell>
          <cell r="U56">
            <v>0</v>
          </cell>
        </row>
        <row r="58">
          <cell r="S58">
            <v>-0.86099999999999999</v>
          </cell>
          <cell r="T58">
            <v>-1.0695394895257728</v>
          </cell>
          <cell r="U58">
            <v>0</v>
          </cell>
        </row>
        <row r="59">
          <cell r="S59">
            <v>-4.894609184999994</v>
          </cell>
          <cell r="T59">
            <v>-4.8290943526036161</v>
          </cell>
          <cell r="U59">
            <v>0</v>
          </cell>
        </row>
        <row r="62">
          <cell r="S62">
            <v>-0.2891209126082982</v>
          </cell>
          <cell r="T62">
            <v>-1.0329363860771814</v>
          </cell>
          <cell r="U62">
            <v>0</v>
          </cell>
        </row>
        <row r="63">
          <cell r="S63">
            <v>20.821520692376762</v>
          </cell>
          <cell r="T63">
            <v>21.982158005054945</v>
          </cell>
          <cell r="U63">
            <v>0</v>
          </cell>
        </row>
        <row r="64">
          <cell r="S64">
            <v>6.4000510820000009</v>
          </cell>
          <cell r="T64">
            <v>3.9334494769998276</v>
          </cell>
          <cell r="U64">
            <v>0</v>
          </cell>
        </row>
        <row r="65">
          <cell r="S65">
            <v>-1.9876000000000005</v>
          </cell>
          <cell r="T65">
            <v>-2.926268043516556</v>
          </cell>
          <cell r="U65">
            <v>0</v>
          </cell>
        </row>
        <row r="66">
          <cell r="S66">
            <v>0.48476128947928415</v>
          </cell>
          <cell r="T66">
            <v>0</v>
          </cell>
          <cell r="U66">
            <v>0</v>
          </cell>
        </row>
        <row r="67">
          <cell r="S67">
            <v>0</v>
          </cell>
          <cell r="T67">
            <v>-0.15643374681730879</v>
          </cell>
          <cell r="U67">
            <v>0</v>
          </cell>
        </row>
        <row r="68">
          <cell r="S68">
            <v>12.553012989000001</v>
          </cell>
          <cell r="T68">
            <v>14.512</v>
          </cell>
          <cell r="U68">
            <v>0</v>
          </cell>
        </row>
        <row r="69">
          <cell r="S69">
            <v>0</v>
          </cell>
          <cell r="T69">
            <v>0</v>
          </cell>
          <cell r="U69">
            <v>0</v>
          </cell>
        </row>
        <row r="70">
          <cell r="S70">
            <v>3.2673819799999961</v>
          </cell>
          <cell r="T70">
            <v>4.3610229180000006</v>
          </cell>
          <cell r="U70">
            <v>0</v>
          </cell>
        </row>
        <row r="71">
          <cell r="S71">
            <v>0.88185000000000002</v>
          </cell>
          <cell r="T71">
            <v>0</v>
          </cell>
          <cell r="U71">
            <v>0</v>
          </cell>
        </row>
        <row r="72">
          <cell r="S72">
            <v>1.6693</v>
          </cell>
          <cell r="T72">
            <v>0.123</v>
          </cell>
          <cell r="U72">
            <v>0</v>
          </cell>
        </row>
        <row r="73">
          <cell r="S73">
            <v>1.3988883249842416</v>
          </cell>
          <cell r="T73">
            <v>1.5284342684476986</v>
          </cell>
          <cell r="U73">
            <v>0</v>
          </cell>
        </row>
        <row r="74">
          <cell r="S74">
            <v>0</v>
          </cell>
          <cell r="T74">
            <v>17.899999999999999</v>
          </cell>
          <cell r="U74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</sheetData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3585-495B-47E9-83B5-D08D4FF2E0F2}">
  <dimension ref="A1:CQ87"/>
  <sheetViews>
    <sheetView tabSelected="1" workbookViewId="0">
      <selection activeCell="E5" sqref="E5"/>
    </sheetView>
  </sheetViews>
  <sheetFormatPr defaultColWidth="7.75" defaultRowHeight="14.25" outlineLevelRow="3" outlineLevelCol="1"/>
  <cols>
    <col min="1" max="1" width="2.5" style="1" customWidth="1"/>
    <col min="2" max="2" width="1.625" style="1" customWidth="1"/>
    <col min="3" max="3" width="3.875" style="1" customWidth="1"/>
    <col min="4" max="4" width="3.5" style="1" customWidth="1"/>
    <col min="5" max="5" width="45" style="1" customWidth="1"/>
    <col min="6" max="6" width="14.5" style="1" bestFit="1" customWidth="1"/>
    <col min="7" max="7" width="10.625" style="1" bestFit="1" customWidth="1"/>
    <col min="8" max="8" width="10.125" style="1" bestFit="1" customWidth="1"/>
    <col min="9" max="9" width="11" style="1" bestFit="1" customWidth="1"/>
    <col min="10" max="10" width="5.125" style="1" bestFit="1" customWidth="1"/>
    <col min="11" max="12" width="9.25" style="1" hidden="1" customWidth="1" outlineLevel="1"/>
    <col min="13" max="13" width="10.125" style="1" hidden="1" customWidth="1" outlineLevel="1"/>
    <col min="14" max="14" width="9.5" style="1" hidden="1" customWidth="1" outlineLevel="1"/>
    <col min="15" max="15" width="8.25" style="1" hidden="1" customWidth="1" outlineLevel="1"/>
    <col min="16" max="16" width="8.375" style="1" hidden="1" customWidth="1" outlineLevel="1"/>
    <col min="17" max="17" width="8.25" style="1" hidden="1" customWidth="1" outlineLevel="1"/>
    <col min="18" max="18" width="10.375" style="1" hidden="1" customWidth="1" outlineLevel="1"/>
    <col min="19" max="19" width="1.25" style="1" hidden="1" customWidth="1" outlineLevel="1"/>
    <col min="20" max="20" width="10.125" style="1" hidden="1" customWidth="1" outlineLevel="1"/>
    <col min="21" max="21" width="9.25" style="1" hidden="1" customWidth="1" outlineLevel="1"/>
    <col min="22" max="22" width="10.125" style="1" hidden="1" customWidth="1" outlineLevel="1"/>
    <col min="23" max="23" width="9.5" style="1" hidden="1" customWidth="1" outlineLevel="1"/>
    <col min="24" max="24" width="8.25" style="1" hidden="1" customWidth="1" outlineLevel="1"/>
    <col min="25" max="25" width="8.375" style="1" hidden="1" customWidth="1" outlineLevel="1"/>
    <col min="26" max="26" width="8.25" style="1" hidden="1" customWidth="1" outlineLevel="1"/>
    <col min="27" max="27" width="10.375" style="1" hidden="1" customWidth="1" outlineLevel="1"/>
    <col min="28" max="28" width="1.25" style="1" customWidth="1" collapsed="1"/>
    <col min="29" max="29" width="8.875" style="1" customWidth="1" outlineLevel="1"/>
    <col min="30" max="30" width="8.625" style="1" customWidth="1" outlineLevel="1"/>
    <col min="31" max="31" width="10.125" style="1" customWidth="1" outlineLevel="1"/>
    <col min="32" max="32" width="9.5" style="1" customWidth="1" outlineLevel="1"/>
    <col min="33" max="33" width="9.25" style="1" customWidth="1" outlineLevel="1"/>
    <col min="34" max="36" width="8.375" style="1" customWidth="1" outlineLevel="1"/>
    <col min="37" max="37" width="1.25" style="1" customWidth="1"/>
    <col min="38" max="38" width="11.25" style="1" customWidth="1"/>
    <col min="39" max="39" width="10.875" style="1" customWidth="1"/>
    <col min="40" max="40" width="10.125" style="1" customWidth="1"/>
    <col min="41" max="41" width="10.875" style="1" customWidth="1"/>
    <col min="42" max="45" width="9.25" style="1" customWidth="1"/>
    <col min="46" max="46" width="2.625" style="1" customWidth="1"/>
    <col min="47" max="47" width="10.125" style="1" hidden="1" customWidth="1"/>
    <col min="48" max="48" width="9.25" style="1" hidden="1" customWidth="1"/>
    <col min="49" max="49" width="1.25" style="1" customWidth="1"/>
    <col min="50" max="51" width="9.25" style="1" customWidth="1"/>
    <col min="52" max="52" width="9.75" style="1" bestFit="1" customWidth="1"/>
    <col min="53" max="57" width="9.25" style="1" customWidth="1"/>
    <col min="58" max="58" width="2.125" style="1" customWidth="1"/>
    <col min="59" max="59" width="8.875" style="1" hidden="1" customWidth="1" outlineLevel="1" collapsed="1"/>
    <col min="60" max="60" width="8.625" style="1" hidden="1" customWidth="1" outlineLevel="1"/>
    <col min="61" max="61" width="10.125" style="1" hidden="1" customWidth="1" outlineLevel="1"/>
    <col min="62" max="64" width="9.5" style="1" hidden="1" customWidth="1" outlineLevel="1"/>
    <col min="65" max="65" width="8.625" style="1" hidden="1" customWidth="1" outlineLevel="1"/>
    <col min="66" max="66" width="10.125" style="1" hidden="1" customWidth="1" outlineLevel="1"/>
    <col min="67" max="67" width="2.75" style="1" customWidth="1" collapsed="1"/>
    <col min="68" max="68" width="8.875" style="1" hidden="1" customWidth="1" outlineLevel="1" collapsed="1"/>
    <col min="69" max="69" width="8.625" style="1" hidden="1" customWidth="1" outlineLevel="1"/>
    <col min="70" max="70" width="10.125" style="1" hidden="1" customWidth="1" outlineLevel="1"/>
    <col min="71" max="73" width="9.5" style="1" hidden="1" customWidth="1" outlineLevel="1"/>
    <col min="74" max="74" width="8.625" style="1" hidden="1" customWidth="1" outlineLevel="1"/>
    <col min="75" max="75" width="10.125" style="1" hidden="1" customWidth="1" outlineLevel="1"/>
    <col min="76" max="76" width="2.125" style="1" hidden="1" customWidth="1" outlineLevel="1"/>
    <col min="77" max="77" width="13.125" style="1" hidden="1" customWidth="1" outlineLevel="1"/>
    <col min="78" max="78" width="4" style="1" hidden="1" customWidth="1" outlineLevel="1"/>
    <col min="79" max="79" width="9.5" style="1" hidden="1" customWidth="1" outlineLevel="1"/>
    <col min="80" max="80" width="3.875" style="1" hidden="1" customWidth="1" outlineLevel="1"/>
    <col min="81" max="81" width="13.125" style="1" hidden="1" customWidth="1" outlineLevel="1"/>
    <col min="82" max="82" width="0.5" style="1" customWidth="1" collapsed="1"/>
    <col min="83" max="84" width="9.25" style="1" customWidth="1"/>
    <col min="85" max="85" width="9.75" style="1" bestFit="1" customWidth="1"/>
    <col min="86" max="90" width="9.25" style="1" customWidth="1"/>
    <col min="91" max="91" width="0" style="1" hidden="1" customWidth="1" outlineLevel="1"/>
    <col min="92" max="92" width="9.5" style="7" hidden="1" customWidth="1" outlineLevel="1"/>
    <col min="93" max="93" width="7.75" style="1" collapsed="1"/>
    <col min="94" max="16384" width="7.75" style="1"/>
  </cols>
  <sheetData>
    <row r="1" spans="2:92">
      <c r="CN1" s="2"/>
    </row>
    <row r="2" spans="2:92" ht="15" outlineLevel="1">
      <c r="E2" s="3" t="s">
        <v>0</v>
      </c>
      <c r="F2" s="4" t="s">
        <v>1</v>
      </c>
      <c r="AR2" s="5"/>
      <c r="CN2" s="2"/>
    </row>
    <row r="3" spans="2:92">
      <c r="O3" s="6"/>
      <c r="P3" s="6"/>
      <c r="Q3" s="6"/>
      <c r="R3" s="6"/>
      <c r="X3" s="6"/>
      <c r="Y3" s="6"/>
      <c r="Z3" s="6"/>
      <c r="AA3" s="6"/>
      <c r="AP3" s="6"/>
      <c r="AQ3" s="6"/>
      <c r="AR3" s="6"/>
      <c r="AS3" s="6"/>
      <c r="BB3" s="6"/>
      <c r="BC3" s="6"/>
      <c r="BD3" s="6"/>
      <c r="BE3" s="6"/>
      <c r="CI3" s="6"/>
      <c r="CJ3" s="6"/>
      <c r="CK3" s="6"/>
      <c r="CL3" s="6"/>
    </row>
    <row r="4" spans="2:92" ht="15" outlineLevel="1" thickBot="1">
      <c r="B4" s="8" t="s">
        <v>77</v>
      </c>
      <c r="C4" s="8"/>
      <c r="D4" s="8"/>
      <c r="E4" s="8"/>
    </row>
    <row r="5" spans="2:92" ht="57" customHeight="1" outlineLevel="2">
      <c r="B5" s="9" t="s">
        <v>78</v>
      </c>
      <c r="C5" s="10"/>
      <c r="D5" s="11"/>
      <c r="E5" s="11"/>
      <c r="F5" s="379" t="s">
        <v>2</v>
      </c>
      <c r="G5" s="380"/>
      <c r="H5" s="380"/>
      <c r="I5" s="381"/>
      <c r="J5" s="12"/>
      <c r="K5" s="382" t="s">
        <v>3</v>
      </c>
      <c r="L5" s="383"/>
      <c r="M5" s="383"/>
      <c r="N5" s="384"/>
      <c r="O5" s="385" t="s">
        <v>4</v>
      </c>
      <c r="P5" s="386"/>
      <c r="Q5" s="386"/>
      <c r="R5" s="387"/>
      <c r="S5" s="12"/>
      <c r="T5" s="373" t="s">
        <v>5</v>
      </c>
      <c r="U5" s="374"/>
      <c r="V5" s="374"/>
      <c r="W5" s="375"/>
      <c r="X5" s="376" t="s">
        <v>6</v>
      </c>
      <c r="Y5" s="377"/>
      <c r="Z5" s="377"/>
      <c r="AA5" s="378"/>
      <c r="AB5" s="12"/>
      <c r="AC5" s="361" t="s">
        <v>7</v>
      </c>
      <c r="AD5" s="362"/>
      <c r="AE5" s="362"/>
      <c r="AF5" s="363"/>
      <c r="AG5" s="358" t="s">
        <v>8</v>
      </c>
      <c r="AH5" s="359"/>
      <c r="AI5" s="359"/>
      <c r="AJ5" s="360"/>
      <c r="AK5" s="12"/>
      <c r="AL5" s="367" t="s">
        <v>9</v>
      </c>
      <c r="AM5" s="368"/>
      <c r="AN5" s="368"/>
      <c r="AO5" s="369"/>
      <c r="AP5" s="370" t="s">
        <v>10</v>
      </c>
      <c r="AQ5" s="371"/>
      <c r="AR5" s="371"/>
      <c r="AS5" s="372"/>
      <c r="AU5" s="14" t="s">
        <v>11</v>
      </c>
      <c r="AV5" s="15" t="s">
        <v>12</v>
      </c>
      <c r="AW5" s="12"/>
      <c r="AX5" s="373" t="s">
        <v>13</v>
      </c>
      <c r="AY5" s="374"/>
      <c r="AZ5" s="374"/>
      <c r="BA5" s="375"/>
      <c r="BB5" s="376" t="s">
        <v>14</v>
      </c>
      <c r="BC5" s="377"/>
      <c r="BD5" s="377"/>
      <c r="BE5" s="378"/>
      <c r="BG5" s="361" t="s">
        <v>7</v>
      </c>
      <c r="BH5" s="362"/>
      <c r="BI5" s="362"/>
      <c r="BJ5" s="363"/>
      <c r="BK5" s="358" t="s">
        <v>15</v>
      </c>
      <c r="BL5" s="359"/>
      <c r="BM5" s="359"/>
      <c r="BN5" s="360"/>
      <c r="BP5" s="361" t="s">
        <v>16</v>
      </c>
      <c r="BQ5" s="362"/>
      <c r="BR5" s="362"/>
      <c r="BS5" s="363"/>
      <c r="BT5" s="358" t="s">
        <v>17</v>
      </c>
      <c r="BU5" s="359"/>
      <c r="BV5" s="359"/>
      <c r="BW5" s="360"/>
      <c r="BY5" s="16" t="s">
        <v>18</v>
      </c>
      <c r="CA5" s="13" t="s">
        <v>19</v>
      </c>
      <c r="CC5" s="16" t="s">
        <v>20</v>
      </c>
      <c r="CE5" s="364" t="s">
        <v>21</v>
      </c>
      <c r="CF5" s="365"/>
      <c r="CG5" s="365"/>
      <c r="CH5" s="366"/>
      <c r="CI5" s="364" t="s">
        <v>22</v>
      </c>
      <c r="CJ5" s="365"/>
      <c r="CK5" s="365"/>
      <c r="CL5" s="366"/>
      <c r="CM5" s="17" t="s">
        <v>23</v>
      </c>
      <c r="CN5" s="17" t="s">
        <v>24</v>
      </c>
    </row>
    <row r="6" spans="2:92" ht="27.75" customHeight="1" outlineLevel="2">
      <c r="B6" s="10"/>
      <c r="C6" s="10"/>
      <c r="D6" s="11"/>
      <c r="E6" s="11"/>
      <c r="F6" s="18" t="str">
        <f>[1]Act!S5</f>
        <v>M10</v>
      </c>
      <c r="G6" s="19" t="str">
        <f>[1]Act!T5</f>
        <v>M11</v>
      </c>
      <c r="H6" s="19" t="str">
        <f>[1]Act!U5</f>
        <v>M12</v>
      </c>
      <c r="I6" s="20" t="s">
        <v>25</v>
      </c>
      <c r="J6" s="12"/>
      <c r="K6" s="19" t="str">
        <f>F6</f>
        <v>M10</v>
      </c>
      <c r="L6" s="19" t="str">
        <f>G6</f>
        <v>M11</v>
      </c>
      <c r="M6" s="19" t="str">
        <f>H6</f>
        <v>M12</v>
      </c>
      <c r="N6" s="21" t="str">
        <f>I6</f>
        <v>Q4</v>
      </c>
      <c r="O6" s="19" t="str">
        <f>K6</f>
        <v>M10</v>
      </c>
      <c r="P6" s="19" t="str">
        <f>L6</f>
        <v>M11</v>
      </c>
      <c r="Q6" s="19" t="str">
        <f>M6</f>
        <v>M12</v>
      </c>
      <c r="R6" s="22" t="str">
        <f>N6</f>
        <v>Q4</v>
      </c>
      <c r="S6" s="12"/>
      <c r="T6" s="19" t="str">
        <f>F6</f>
        <v>M10</v>
      </c>
      <c r="U6" s="19" t="str">
        <f>G6</f>
        <v>M11</v>
      </c>
      <c r="V6" s="19" t="str">
        <f>H6</f>
        <v>M12</v>
      </c>
      <c r="W6" s="23" t="str">
        <f>I6</f>
        <v>Q4</v>
      </c>
      <c r="X6" s="19" t="str">
        <f>F6</f>
        <v>M10</v>
      </c>
      <c r="Y6" s="19" t="str">
        <f>G6</f>
        <v>M11</v>
      </c>
      <c r="Z6" s="19" t="str">
        <f>H6</f>
        <v>M12</v>
      </c>
      <c r="AA6" s="24" t="str">
        <f>W6</f>
        <v>Q4</v>
      </c>
      <c r="AB6" s="12"/>
      <c r="AC6" s="19" t="str">
        <f>O6</f>
        <v>M10</v>
      </c>
      <c r="AD6" s="19" t="str">
        <f>P6</f>
        <v>M11</v>
      </c>
      <c r="AE6" s="19" t="str">
        <f>Q6</f>
        <v>M12</v>
      </c>
      <c r="AF6" s="25" t="str">
        <f>R6</f>
        <v>Q4</v>
      </c>
      <c r="AG6" s="19" t="str">
        <f>O6</f>
        <v>M10</v>
      </c>
      <c r="AH6" s="19" t="str">
        <f>P6</f>
        <v>M11</v>
      </c>
      <c r="AI6" s="19" t="str">
        <f>Q6</f>
        <v>M12</v>
      </c>
      <c r="AJ6" s="16" t="str">
        <f>AF6</f>
        <v>Q4</v>
      </c>
      <c r="AK6" s="12"/>
      <c r="AL6" s="19" t="str">
        <f>X6</f>
        <v>M10</v>
      </c>
      <c r="AM6" s="19" t="str">
        <f>Y6</f>
        <v>M11</v>
      </c>
      <c r="AN6" s="19" t="str">
        <f>Z6</f>
        <v>M12</v>
      </c>
      <c r="AO6" s="26" t="str">
        <f>AA6</f>
        <v>Q4</v>
      </c>
      <c r="AP6" s="19" t="str">
        <f>X6</f>
        <v>M10</v>
      </c>
      <c r="AQ6" s="19" t="str">
        <f>Y6</f>
        <v>M11</v>
      </c>
      <c r="AR6" s="19" t="str">
        <f>Z6</f>
        <v>M12</v>
      </c>
      <c r="AS6" s="27" t="str">
        <f>AO6</f>
        <v>Q4</v>
      </c>
      <c r="AU6" s="19" t="s">
        <v>26</v>
      </c>
      <c r="AV6" s="28" t="s">
        <v>27</v>
      </c>
      <c r="AW6" s="12"/>
      <c r="AX6" s="19" t="str">
        <f>AL6</f>
        <v>M10</v>
      </c>
      <c r="AY6" s="19" t="str">
        <f t="shared" ref="AY6:BE6" si="0">AM6</f>
        <v>M11</v>
      </c>
      <c r="AZ6" s="19" t="str">
        <f t="shared" si="0"/>
        <v>M12</v>
      </c>
      <c r="BA6" s="23" t="str">
        <f>AO6</f>
        <v>Q4</v>
      </c>
      <c r="BB6" s="19" t="str">
        <f t="shared" si="0"/>
        <v>M10</v>
      </c>
      <c r="BC6" s="19" t="str">
        <f t="shared" si="0"/>
        <v>M11</v>
      </c>
      <c r="BD6" s="19" t="str">
        <f t="shared" si="0"/>
        <v>M12</v>
      </c>
      <c r="BE6" s="24" t="str">
        <f t="shared" si="0"/>
        <v>Q4</v>
      </c>
      <c r="BG6" s="19" t="str">
        <f>F6</f>
        <v>M10</v>
      </c>
      <c r="BH6" s="19" t="str">
        <f>G6</f>
        <v>M11</v>
      </c>
      <c r="BI6" s="19" t="str">
        <f>H6</f>
        <v>M12</v>
      </c>
      <c r="BJ6" s="25" t="str">
        <f>I6</f>
        <v>Q4</v>
      </c>
      <c r="BK6" s="19" t="str">
        <f>BG6</f>
        <v>M10</v>
      </c>
      <c r="BL6" s="19" t="str">
        <f>BH6</f>
        <v>M11</v>
      </c>
      <c r="BM6" s="19" t="str">
        <f>BI6</f>
        <v>M12</v>
      </c>
      <c r="BN6" s="16" t="str">
        <f>BJ6</f>
        <v>Q4</v>
      </c>
      <c r="BP6" s="19" t="str">
        <f>O6</f>
        <v>M10</v>
      </c>
      <c r="BQ6" s="19" t="str">
        <f>P6</f>
        <v>M11</v>
      </c>
      <c r="BR6" s="19" t="str">
        <f>Q6</f>
        <v>M12</v>
      </c>
      <c r="BS6" s="25" t="str">
        <f>R6</f>
        <v>Q4</v>
      </c>
      <c r="BT6" s="19" t="str">
        <f>BP6</f>
        <v>M10</v>
      </c>
      <c r="BU6" s="19" t="str">
        <f>BQ6</f>
        <v>M11</v>
      </c>
      <c r="BV6" s="19" t="str">
        <f>BR6</f>
        <v>M12</v>
      </c>
      <c r="BW6" s="16" t="str">
        <f>BS6</f>
        <v>Q4</v>
      </c>
      <c r="BY6" s="16" t="str">
        <f>BV6</f>
        <v>M12</v>
      </c>
      <c r="CA6" s="23" t="s">
        <v>28</v>
      </c>
      <c r="CC6" s="16" t="s">
        <v>29</v>
      </c>
      <c r="CE6" s="19" t="str">
        <f>AX6</f>
        <v>M10</v>
      </c>
      <c r="CF6" s="19" t="str">
        <f t="shared" ref="CF6:CG6" si="1">AY6</f>
        <v>M11</v>
      </c>
      <c r="CG6" s="19" t="str">
        <f t="shared" si="1"/>
        <v>M12</v>
      </c>
      <c r="CH6" s="29" t="str">
        <f>I6</f>
        <v>Q4</v>
      </c>
      <c r="CI6" s="19" t="str">
        <f>CE6</f>
        <v>M10</v>
      </c>
      <c r="CJ6" s="19" t="str">
        <f t="shared" ref="CJ6:CK6" si="2">CF6</f>
        <v>M11</v>
      </c>
      <c r="CK6" s="19" t="str">
        <f t="shared" si="2"/>
        <v>M12</v>
      </c>
      <c r="CL6" s="29" t="str">
        <f>CH6</f>
        <v>Q4</v>
      </c>
      <c r="CN6" s="29"/>
    </row>
    <row r="7" spans="2:92" ht="13.5" customHeight="1" outlineLevel="3">
      <c r="B7" s="30"/>
      <c r="C7" s="31" t="s">
        <v>79</v>
      </c>
      <c r="D7" s="31"/>
      <c r="E7" s="32"/>
      <c r="F7" s="33">
        <f>IF([1]Act!S$3=1,[1]Act!S6,"")</f>
        <v>1238.3779</v>
      </c>
      <c r="G7" s="33">
        <f>IF([1]Act!T$3=1,[1]Act!T6,"")</f>
        <v>1230.6235999999999</v>
      </c>
      <c r="H7" s="33" t="str">
        <f>IF([1]Act!U$3=1,[1]Act!U6,"")</f>
        <v/>
      </c>
      <c r="I7" s="34">
        <f>SUM(F7:H7)</f>
        <v>2469.0014999999999</v>
      </c>
      <c r="K7" s="35">
        <f>IF([1]BP!S$3=1,[1]BP!S6,"")</f>
        <v>1281.398471814</v>
      </c>
      <c r="L7" s="35">
        <f>IF([1]BP!T$3=1,[1]BP!T6,"")</f>
        <v>1233.350903433</v>
      </c>
      <c r="M7" s="35" t="str">
        <f>IF([1]BP!U$3=1,[1]BP!U6,"")</f>
        <v/>
      </c>
      <c r="N7" s="36">
        <f>SUM(K7:M7)</f>
        <v>2514.749375247</v>
      </c>
      <c r="O7" s="37">
        <f>IFERROR(F7-K7,0)</f>
        <v>-43.02057181400005</v>
      </c>
      <c r="P7" s="37">
        <f t="shared" ref="P7:Q14" si="3">IFERROR(G7-L7,0)</f>
        <v>-2.7273034330000883</v>
      </c>
      <c r="Q7" s="37">
        <f t="shared" si="3"/>
        <v>0</v>
      </c>
      <c r="R7" s="38">
        <f>I7-N7</f>
        <v>-45.747875247000138</v>
      </c>
      <c r="S7" s="39"/>
      <c r="T7" s="35">
        <f>IF('[1]FC2+10'!S$3=1,'[1]FC2+10'!S6,"")</f>
        <v>1259.2919999999999</v>
      </c>
      <c r="U7" s="35">
        <f>IF('[1]FC2+10'!T$3=1,'[1]FC2+10'!T6,"")</f>
        <v>1220.4190000000001</v>
      </c>
      <c r="V7" s="35" t="str">
        <f>IF('[1]FC2+10'!U$3=1,'[1]FC2+10'!U6,"")</f>
        <v/>
      </c>
      <c r="W7" s="40">
        <f>SUM(T7:V7)</f>
        <v>2479.7110000000002</v>
      </c>
      <c r="X7" s="37">
        <f>IFERROR(F7-T7,0)</f>
        <v>-20.914099999999962</v>
      </c>
      <c r="Y7" s="37">
        <f t="shared" ref="Y7:Z14" si="4">IFERROR(G7-U7,0)</f>
        <v>10.2045999999998</v>
      </c>
      <c r="Z7" s="37">
        <f t="shared" si="4"/>
        <v>0</v>
      </c>
      <c r="AA7" s="41">
        <f t="shared" ref="AA7:AA14" si="5">I7-W7</f>
        <v>-10.709500000000389</v>
      </c>
      <c r="AB7" s="39"/>
      <c r="AC7" s="35">
        <f>IF([1]OL!S$3=1,[1]OL!S6,"")</f>
        <v>1238.3779</v>
      </c>
      <c r="AD7" s="35">
        <f>IF([1]OL!T$3=1,[1]OL!T6,"")</f>
        <v>1315.1610000000001</v>
      </c>
      <c r="AE7" s="35" t="str">
        <f>IF([1]OL!U$3=1,[1]OL!U6,"")</f>
        <v/>
      </c>
      <c r="AF7" s="42">
        <f>SUM(AC7:AE7)</f>
        <v>2553.5389</v>
      </c>
      <c r="AG7" s="37">
        <f>IFERROR(F7-AC7,0)</f>
        <v>0</v>
      </c>
      <c r="AH7" s="37">
        <f t="shared" ref="AH7:AJ14" si="6">IFERROR(G7-AD7,0)</f>
        <v>-84.537400000000162</v>
      </c>
      <c r="AI7" s="37">
        <f t="shared" si="6"/>
        <v>0</v>
      </c>
      <c r="AJ7" s="43">
        <f t="shared" si="6"/>
        <v>-84.537400000000162</v>
      </c>
      <c r="AK7" s="39"/>
      <c r="AL7" s="35">
        <f>IF([1]LY!S$3=1,[1]LY!S6,"")</f>
        <v>1255.134</v>
      </c>
      <c r="AM7" s="35">
        <f>IF([1]LY!T$3=1,[1]LY!T6,"")</f>
        <v>1224.683</v>
      </c>
      <c r="AN7" s="35" t="str">
        <f>IF([1]LY!U$3=1,[1]LY!U6,"")</f>
        <v/>
      </c>
      <c r="AO7" s="44">
        <f>SUM(AL7:AN7)</f>
        <v>2479.817</v>
      </c>
      <c r="AP7" s="37">
        <f>IFERROR(F7-AL7,0)</f>
        <v>-16.75610000000006</v>
      </c>
      <c r="AQ7" s="37">
        <f t="shared" ref="AQ7:AS14" si="7">IFERROR(G7-AM7,0)</f>
        <v>5.940599999999904</v>
      </c>
      <c r="AR7" s="37">
        <f t="shared" si="7"/>
        <v>0</v>
      </c>
      <c r="AS7" s="45">
        <f t="shared" si="7"/>
        <v>-10.815500000000156</v>
      </c>
      <c r="AU7" s="35">
        <f>[1]Act!L6</f>
        <v>1406.473</v>
      </c>
      <c r="AV7" s="46" t="e">
        <f>H7-AU7</f>
        <v>#VALUE!</v>
      </c>
      <c r="AW7" s="39"/>
      <c r="AX7" s="35">
        <f>IF('[1]FC5+7'!S$3=1,'[1]FC5+7'!S6,"")</f>
        <v>1261.0728018780001</v>
      </c>
      <c r="AY7" s="35">
        <f>IF('[1]FC5+7'!T$3=1,'[1]FC5+7'!T6,"")</f>
        <v>1233.257302109</v>
      </c>
      <c r="AZ7" s="35" t="str">
        <f>IF('[1]FC5+7'!U$3=1,'[1]FC5+7'!U6,"")</f>
        <v/>
      </c>
      <c r="BA7" s="40">
        <f>SUM(AX7:AZ7)</f>
        <v>2494.3301039870003</v>
      </c>
      <c r="BB7" s="37">
        <f>IFERROR(F7-AX7,0)</f>
        <v>-22.69490187800011</v>
      </c>
      <c r="BC7" s="37">
        <f t="shared" ref="BC7:BE14" si="8">IFERROR(G7-AY7,0)</f>
        <v>-2.633702109000069</v>
      </c>
      <c r="BD7" s="37">
        <f t="shared" si="8"/>
        <v>0</v>
      </c>
      <c r="BE7" s="41">
        <f t="shared" si="8"/>
        <v>-25.328603987000406</v>
      </c>
      <c r="BG7" s="35">
        <f>F7</f>
        <v>1238.3779</v>
      </c>
      <c r="BH7" s="35">
        <v>1374.0031647088058</v>
      </c>
      <c r="BI7" s="35">
        <v>1555.0535076298518</v>
      </c>
      <c r="BJ7" s="42">
        <f>SUM(BG7:BI7)</f>
        <v>4167.4345723386577</v>
      </c>
      <c r="BK7" s="37">
        <f>IFERROR(F7-AC7,0)</f>
        <v>0</v>
      </c>
      <c r="BL7" s="37">
        <f>IFERROR(G7-AD7,0)</f>
        <v>-84.537400000000162</v>
      </c>
      <c r="BM7" s="37">
        <f>IFERROR(AL7-AE7,0)</f>
        <v>0</v>
      </c>
      <c r="BN7" s="43">
        <f>IFERROR(I7-BJ7,0)</f>
        <v>-1698.4330723386579</v>
      </c>
      <c r="BP7" s="35">
        <f>F7</f>
        <v>1238.3779</v>
      </c>
      <c r="BQ7" s="35">
        <f>G7</f>
        <v>1230.6235999999999</v>
      </c>
      <c r="BR7" s="35" t="e">
        <f>#REF!</f>
        <v>#REF!</v>
      </c>
      <c r="BS7" s="42" t="e">
        <f>SUM(BP7:BR7)</f>
        <v>#REF!</v>
      </c>
      <c r="BT7" s="37">
        <f>BP7-AC7</f>
        <v>0</v>
      </c>
      <c r="BU7" s="37">
        <f>BQ7-AD7</f>
        <v>-84.537400000000162</v>
      </c>
      <c r="BV7" s="37" t="e">
        <f>BR7-AE7</f>
        <v>#REF!</v>
      </c>
      <c r="BW7" s="43" t="e">
        <f>BS7-AF7</f>
        <v>#REF!</v>
      </c>
      <c r="BY7" s="43" t="e">
        <f>H7-BR7</f>
        <v>#VALUE!</v>
      </c>
      <c r="CA7" s="40">
        <f>'[1]FC2+10'!AA6</f>
        <v>3738.5280000000002</v>
      </c>
      <c r="CC7" s="43">
        <f>CA7-I7</f>
        <v>1269.5265000000004</v>
      </c>
      <c r="CE7" s="35">
        <f>IF('[1]FC7+5'!S$3=1,'[1]FC7+5'!S6,"")</f>
        <v>1265.3679999999999</v>
      </c>
      <c r="CF7" s="35">
        <f>IF('[1]FC7+5'!T$3=1,'[1]FC7+5'!T6,"")</f>
        <v>1239.261</v>
      </c>
      <c r="CG7" s="35" t="str">
        <f>IF('[1]FC7+5'!U$3=1,'[1]FC7+5'!U6,"")</f>
        <v/>
      </c>
      <c r="CH7" s="47">
        <f>SUM(CE7:CG7)</f>
        <v>2504.6289999999999</v>
      </c>
      <c r="CI7" s="37">
        <f>IFERROR(F7-CE7,0)</f>
        <v>-26.990099999999984</v>
      </c>
      <c r="CJ7" s="37">
        <f t="shared" ref="CJ7:CL14" si="9">IFERROR(G7-CF7,0)</f>
        <v>-8.6374000000000706</v>
      </c>
      <c r="CK7" s="37">
        <f t="shared" si="9"/>
        <v>0</v>
      </c>
      <c r="CL7" s="47">
        <f t="shared" si="9"/>
        <v>-35.627500000000055</v>
      </c>
      <c r="CM7" s="47">
        <f>IF('[1]FC7+5'!AC$3=1,'[1]FC7+5'!AC6,"")</f>
        <v>4279.8050000000003</v>
      </c>
      <c r="CN7" s="47">
        <f>I7-CM7</f>
        <v>-1810.8035000000004</v>
      </c>
    </row>
    <row r="8" spans="2:92" ht="13.5" customHeight="1" outlineLevel="3">
      <c r="B8" s="30"/>
      <c r="C8" s="31" t="s">
        <v>80</v>
      </c>
      <c r="D8" s="31"/>
      <c r="E8" s="32"/>
      <c r="F8" s="33">
        <f>IF([1]Act!S$3=1,[1]Act!S7,"")</f>
        <v>28.803000000000001</v>
      </c>
      <c r="G8" s="33">
        <f>IF([1]Act!T$3=1,[1]Act!T7,"")</f>
        <v>24.721</v>
      </c>
      <c r="H8" s="33" t="str">
        <f>IF([1]Act!U$3=1,[1]Act!U7,"")</f>
        <v/>
      </c>
      <c r="I8" s="34">
        <f t="shared" ref="I8:I14" si="10">SUM(F8:H8)</f>
        <v>53.524000000000001</v>
      </c>
      <c r="K8" s="35">
        <f>IF([1]BP!S$3=1,[1]BP!S7,"")</f>
        <v>34.765999999999998</v>
      </c>
      <c r="L8" s="35">
        <f>IF([1]BP!T$3=1,[1]BP!T7,"")</f>
        <v>35.582000000000001</v>
      </c>
      <c r="M8" s="35" t="str">
        <f>IF([1]BP!U$3=1,[1]BP!U7,"")</f>
        <v/>
      </c>
      <c r="N8" s="36">
        <f t="shared" ref="N8:N14" si="11">SUM(K8:M8)</f>
        <v>70.347999999999999</v>
      </c>
      <c r="O8" s="37">
        <f t="shared" ref="O8:O14" si="12">IFERROR(F8-K8,0)</f>
        <v>-5.9629999999999974</v>
      </c>
      <c r="P8" s="37">
        <f t="shared" si="3"/>
        <v>-10.861000000000001</v>
      </c>
      <c r="Q8" s="37">
        <f t="shared" si="3"/>
        <v>0</v>
      </c>
      <c r="R8" s="38">
        <f t="shared" ref="R8:R14" si="13">F8-K8</f>
        <v>-5.9629999999999974</v>
      </c>
      <c r="S8" s="39"/>
      <c r="T8" s="35">
        <f>IF('[1]FC2+10'!S$3=1,'[1]FC2+10'!S7,"")</f>
        <v>30.501999999999999</v>
      </c>
      <c r="U8" s="35">
        <f>IF('[1]FC2+10'!T$3=1,'[1]FC2+10'!T7,"")</f>
        <v>33.302999999999997</v>
      </c>
      <c r="V8" s="35" t="str">
        <f>IF('[1]FC2+10'!U$3=1,'[1]FC2+10'!U7,"")</f>
        <v/>
      </c>
      <c r="W8" s="40">
        <f t="shared" ref="W8:W14" si="14">SUM(T8:V8)</f>
        <v>63.804999999999993</v>
      </c>
      <c r="X8" s="37">
        <f t="shared" ref="X8:X14" si="15">IFERROR(F8-T8,0)</f>
        <v>-1.6989999999999981</v>
      </c>
      <c r="Y8" s="37">
        <f t="shared" si="4"/>
        <v>-8.5819999999999972</v>
      </c>
      <c r="Z8" s="37">
        <f t="shared" si="4"/>
        <v>0</v>
      </c>
      <c r="AA8" s="41">
        <f t="shared" si="5"/>
        <v>-10.280999999999992</v>
      </c>
      <c r="AB8" s="39"/>
      <c r="AC8" s="35">
        <f>IF([1]OL!S$3=1,[1]OL!S7,"")</f>
        <v>28.803000000000001</v>
      </c>
      <c r="AD8" s="35">
        <f>IF([1]OL!T$3=1,[1]OL!T7,"")</f>
        <v>23.689</v>
      </c>
      <c r="AE8" s="35" t="str">
        <f>IF([1]OL!U$3=1,[1]OL!U7,"")</f>
        <v/>
      </c>
      <c r="AF8" s="42">
        <f t="shared" ref="AF8:AF14" si="16">SUM(AC8:AE8)</f>
        <v>52.492000000000004</v>
      </c>
      <c r="AG8" s="37">
        <f t="shared" ref="AG8:AG14" si="17">IFERROR(F8-AC8,0)</f>
        <v>0</v>
      </c>
      <c r="AH8" s="37">
        <f t="shared" si="6"/>
        <v>1.032</v>
      </c>
      <c r="AI8" s="37">
        <f t="shared" si="6"/>
        <v>0</v>
      </c>
      <c r="AJ8" s="43">
        <f t="shared" si="6"/>
        <v>1.0319999999999965</v>
      </c>
      <c r="AK8" s="39"/>
      <c r="AL8" s="35">
        <f>IF([1]LY!S$3=1,[1]LY!S7,"")</f>
        <v>31.613</v>
      </c>
      <c r="AM8" s="35">
        <f>IF([1]LY!T$3=1,[1]LY!T7,"")</f>
        <v>31.645</v>
      </c>
      <c r="AN8" s="35" t="str">
        <f>IF([1]LY!U$3=1,[1]LY!U7,"")</f>
        <v/>
      </c>
      <c r="AO8" s="44">
        <f t="shared" ref="AO8:AO14" si="18">SUM(AL8:AN8)</f>
        <v>63.257999999999996</v>
      </c>
      <c r="AP8" s="37">
        <f t="shared" ref="AP8:AP14" si="19">IFERROR(F8-AL8,0)</f>
        <v>-2.8099999999999987</v>
      </c>
      <c r="AQ8" s="37">
        <f t="shared" si="7"/>
        <v>-6.9239999999999995</v>
      </c>
      <c r="AR8" s="37">
        <f t="shared" si="7"/>
        <v>0</v>
      </c>
      <c r="AS8" s="45">
        <f t="shared" si="7"/>
        <v>-9.7339999999999947</v>
      </c>
      <c r="AU8" s="35">
        <f>[1]Act!L7</f>
        <v>28.564</v>
      </c>
      <c r="AV8" s="46" t="e">
        <f t="shared" ref="AV8:AV71" si="20">H8-AU8</f>
        <v>#VALUE!</v>
      </c>
      <c r="AW8" s="39"/>
      <c r="AX8" s="35">
        <f>IF('[1]FC5+7'!S$3=1,'[1]FC5+7'!S7,"")</f>
        <v>29.72</v>
      </c>
      <c r="AY8" s="35">
        <f>IF('[1]FC5+7'!T$3=1,'[1]FC5+7'!T7,"")</f>
        <v>31.792999999999999</v>
      </c>
      <c r="AZ8" s="35" t="str">
        <f>IF('[1]FC5+7'!U$3=1,'[1]FC5+7'!U7,"")</f>
        <v/>
      </c>
      <c r="BA8" s="40">
        <f t="shared" ref="BA8:BA14" si="21">SUM(AX8:AZ8)</f>
        <v>61.512999999999998</v>
      </c>
      <c r="BB8" s="37">
        <f t="shared" ref="BB8:BB14" si="22">IFERROR(F8-AX8,0)</f>
        <v>-0.91699999999999804</v>
      </c>
      <c r="BC8" s="37">
        <f t="shared" si="8"/>
        <v>-7.0719999999999992</v>
      </c>
      <c r="BD8" s="37">
        <f t="shared" si="8"/>
        <v>0</v>
      </c>
      <c r="BE8" s="41">
        <f t="shared" si="8"/>
        <v>-7.9889999999999972</v>
      </c>
      <c r="BG8" s="35">
        <f t="shared" ref="BG8:BG71" si="23">F8</f>
        <v>28.803000000000001</v>
      </c>
      <c r="BH8" s="35">
        <v>27.635000000000002</v>
      </c>
      <c r="BI8" s="35">
        <v>34.497999999999998</v>
      </c>
      <c r="BJ8" s="42">
        <f t="shared" ref="BJ8:BJ14" si="24">SUM(BG8:BI8)</f>
        <v>90.936000000000007</v>
      </c>
      <c r="BK8" s="37">
        <f t="shared" ref="BK8:BL71" si="25">IFERROR(F8-AC8,0)</f>
        <v>0</v>
      </c>
      <c r="BL8" s="37">
        <f t="shared" si="25"/>
        <v>1.032</v>
      </c>
      <c r="BM8" s="37">
        <f t="shared" ref="BM8:BM71" si="26">IFERROR(AL8-AE8,0)</f>
        <v>0</v>
      </c>
      <c r="BN8" s="43">
        <f t="shared" ref="BN8:BN47" si="27">IFERROR(I8-BJ8,0)</f>
        <v>-37.412000000000006</v>
      </c>
      <c r="BP8" s="35">
        <f t="shared" ref="BP8:BQ71" si="28">F8</f>
        <v>28.803000000000001</v>
      </c>
      <c r="BQ8" s="35">
        <f t="shared" si="28"/>
        <v>24.721</v>
      </c>
      <c r="BR8" s="35" t="e">
        <f>#REF!</f>
        <v>#REF!</v>
      </c>
      <c r="BS8" s="42" t="e">
        <f t="shared" ref="BS8:BS14" si="29">SUM(BP8:BR8)</f>
        <v>#REF!</v>
      </c>
      <c r="BT8" s="37">
        <f t="shared" ref="BT8:BW71" si="30">BP8-AC8</f>
        <v>0</v>
      </c>
      <c r="BU8" s="37">
        <f t="shared" si="30"/>
        <v>1.032</v>
      </c>
      <c r="BV8" s="37" t="e">
        <f t="shared" si="30"/>
        <v>#REF!</v>
      </c>
      <c r="BW8" s="43" t="e">
        <f t="shared" si="30"/>
        <v>#REF!</v>
      </c>
      <c r="BY8" s="43" t="e">
        <f t="shared" ref="BY8:BY71" si="31">H8-BR8</f>
        <v>#VALUE!</v>
      </c>
      <c r="CA8" s="40">
        <f>'[1]FC2+10'!AA7</f>
        <v>80.376000000000005</v>
      </c>
      <c r="CC8" s="43">
        <f t="shared" ref="CC8:CC71" si="32">CA8-I8</f>
        <v>26.852000000000004</v>
      </c>
      <c r="CE8" s="35">
        <f>IF('[1]FC7+5'!S$3=1,'[1]FC7+5'!S7,"")</f>
        <v>29.241</v>
      </c>
      <c r="CF8" s="35">
        <f>IF('[1]FC7+5'!T$3=1,'[1]FC7+5'!T7,"")</f>
        <v>28.5</v>
      </c>
      <c r="CG8" s="35" t="str">
        <f>IF('[1]FC7+5'!U$3=1,'[1]FC7+5'!U7,"")</f>
        <v/>
      </c>
      <c r="CH8" s="47">
        <f t="shared" ref="CH8:CH14" si="33">SUM(CE8:CG8)</f>
        <v>57.741</v>
      </c>
      <c r="CI8" s="37">
        <f t="shared" ref="CI8:CI14" si="34">IFERROR(F8-CE8,0)</f>
        <v>-0.43799999999999883</v>
      </c>
      <c r="CJ8" s="37">
        <f t="shared" si="9"/>
        <v>-3.7789999999999999</v>
      </c>
      <c r="CK8" s="37">
        <f t="shared" si="9"/>
        <v>0</v>
      </c>
      <c r="CL8" s="47">
        <f t="shared" si="9"/>
        <v>-4.2169999999999987</v>
      </c>
      <c r="CM8" s="47">
        <f>IF('[1]FC7+5'!AC$3=1,'[1]FC7+5'!AC7,"")</f>
        <v>105.196</v>
      </c>
      <c r="CN8" s="47">
        <f t="shared" ref="CN8:CN71" si="35">I8-CM8</f>
        <v>-51.671999999999997</v>
      </c>
    </row>
    <row r="9" spans="2:92" ht="13.5" customHeight="1" outlineLevel="3">
      <c r="B9" s="30"/>
      <c r="C9" s="31" t="s">
        <v>81</v>
      </c>
      <c r="D9" s="31"/>
      <c r="E9" s="32"/>
      <c r="F9" s="33">
        <f>IF([1]Act!S$3=1,[1]Act!S8,"")</f>
        <v>0</v>
      </c>
      <c r="G9" s="33">
        <f>IF([1]Act!T$3=1,[1]Act!T8,"")</f>
        <v>0</v>
      </c>
      <c r="H9" s="33" t="str">
        <f>IF([1]Act!U$3=1,[1]Act!U8,"")</f>
        <v/>
      </c>
      <c r="I9" s="34">
        <f t="shared" si="10"/>
        <v>0</v>
      </c>
      <c r="K9" s="35">
        <f>IF([1]BP!S$3=1,[1]BP!S8,"")</f>
        <v>0</v>
      </c>
      <c r="L9" s="35">
        <f>IF([1]BP!T$3=1,[1]BP!T8,"")</f>
        <v>0</v>
      </c>
      <c r="M9" s="35" t="str">
        <f>IF([1]BP!U$3=1,[1]BP!U8,"")</f>
        <v/>
      </c>
      <c r="N9" s="36">
        <f t="shared" si="11"/>
        <v>0</v>
      </c>
      <c r="O9" s="37">
        <f t="shared" si="12"/>
        <v>0</v>
      </c>
      <c r="P9" s="37">
        <f t="shared" si="3"/>
        <v>0</v>
      </c>
      <c r="Q9" s="37">
        <f t="shared" si="3"/>
        <v>0</v>
      </c>
      <c r="R9" s="38">
        <f t="shared" si="13"/>
        <v>0</v>
      </c>
      <c r="S9" s="39"/>
      <c r="T9" s="35">
        <f>IF('[1]FC2+10'!S$3=1,'[1]FC2+10'!S8,"")</f>
        <v>0</v>
      </c>
      <c r="U9" s="35">
        <f>IF('[1]FC2+10'!T$3=1,'[1]FC2+10'!T8,"")</f>
        <v>0</v>
      </c>
      <c r="V9" s="35" t="str">
        <f>IF('[1]FC2+10'!U$3=1,'[1]FC2+10'!U8,"")</f>
        <v/>
      </c>
      <c r="W9" s="40">
        <f t="shared" si="14"/>
        <v>0</v>
      </c>
      <c r="X9" s="37">
        <f t="shared" si="15"/>
        <v>0</v>
      </c>
      <c r="Y9" s="37">
        <f t="shared" si="4"/>
        <v>0</v>
      </c>
      <c r="Z9" s="37">
        <f t="shared" si="4"/>
        <v>0</v>
      </c>
      <c r="AA9" s="41">
        <f t="shared" si="5"/>
        <v>0</v>
      </c>
      <c r="AB9" s="39"/>
      <c r="AC9" s="35">
        <f>IF([1]OL!S$3=1,[1]OL!S8,"")</f>
        <v>0</v>
      </c>
      <c r="AD9" s="35">
        <f>IF([1]OL!T$3=1,[1]OL!T8,"")</f>
        <v>0</v>
      </c>
      <c r="AE9" s="35" t="str">
        <f>IF([1]OL!U$3=1,[1]OL!U8,"")</f>
        <v/>
      </c>
      <c r="AF9" s="42">
        <f t="shared" si="16"/>
        <v>0</v>
      </c>
      <c r="AG9" s="37">
        <f t="shared" si="17"/>
        <v>0</v>
      </c>
      <c r="AH9" s="37">
        <f t="shared" si="6"/>
        <v>0</v>
      </c>
      <c r="AI9" s="37">
        <f t="shared" si="6"/>
        <v>0</v>
      </c>
      <c r="AJ9" s="43">
        <f t="shared" si="6"/>
        <v>0</v>
      </c>
      <c r="AK9" s="39"/>
      <c r="AL9" s="35">
        <f>IF([1]LY!S$3=1,[1]LY!S8,"")</f>
        <v>0</v>
      </c>
      <c r="AM9" s="35">
        <f>IF([1]LY!T$3=1,[1]LY!T8,"")</f>
        <v>0</v>
      </c>
      <c r="AN9" s="35" t="str">
        <f>IF([1]LY!U$3=1,[1]LY!U8,"")</f>
        <v/>
      </c>
      <c r="AO9" s="44">
        <f t="shared" si="18"/>
        <v>0</v>
      </c>
      <c r="AP9" s="37">
        <f t="shared" si="19"/>
        <v>0</v>
      </c>
      <c r="AQ9" s="37">
        <f t="shared" si="7"/>
        <v>0</v>
      </c>
      <c r="AR9" s="37">
        <f t="shared" si="7"/>
        <v>0</v>
      </c>
      <c r="AS9" s="45">
        <f t="shared" si="7"/>
        <v>0</v>
      </c>
      <c r="AU9" s="35">
        <f>[1]Act!L8</f>
        <v>0</v>
      </c>
      <c r="AV9" s="46" t="e">
        <f t="shared" si="20"/>
        <v>#VALUE!</v>
      </c>
      <c r="AW9" s="39"/>
      <c r="AX9" s="35">
        <f>IF('[1]FC5+7'!S$3=1,'[1]FC5+7'!S8,"")</f>
        <v>0</v>
      </c>
      <c r="AY9" s="35">
        <f>IF('[1]FC5+7'!T$3=1,'[1]FC5+7'!T8,"")</f>
        <v>0</v>
      </c>
      <c r="AZ9" s="35" t="str">
        <f>IF('[1]FC5+7'!U$3=1,'[1]FC5+7'!U8,"")</f>
        <v/>
      </c>
      <c r="BA9" s="40">
        <f t="shared" si="21"/>
        <v>0</v>
      </c>
      <c r="BB9" s="37">
        <f t="shared" si="22"/>
        <v>0</v>
      </c>
      <c r="BC9" s="37">
        <f t="shared" si="8"/>
        <v>0</v>
      </c>
      <c r="BD9" s="37">
        <f t="shared" si="8"/>
        <v>0</v>
      </c>
      <c r="BE9" s="41">
        <f t="shared" si="8"/>
        <v>0</v>
      </c>
      <c r="BG9" s="35">
        <f t="shared" si="23"/>
        <v>0</v>
      </c>
      <c r="BH9" s="35">
        <v>0</v>
      </c>
      <c r="BI9" s="35">
        <v>0</v>
      </c>
      <c r="BJ9" s="42">
        <f t="shared" si="24"/>
        <v>0</v>
      </c>
      <c r="BK9" s="37">
        <f t="shared" si="25"/>
        <v>0</v>
      </c>
      <c r="BL9" s="37">
        <f t="shared" si="25"/>
        <v>0</v>
      </c>
      <c r="BM9" s="37">
        <f t="shared" si="26"/>
        <v>0</v>
      </c>
      <c r="BN9" s="43">
        <f t="shared" si="27"/>
        <v>0</v>
      </c>
      <c r="BP9" s="35">
        <f t="shared" si="28"/>
        <v>0</v>
      </c>
      <c r="BQ9" s="35">
        <f t="shared" si="28"/>
        <v>0</v>
      </c>
      <c r="BR9" s="35" t="e">
        <f>#REF!</f>
        <v>#REF!</v>
      </c>
      <c r="BS9" s="42" t="e">
        <f t="shared" si="29"/>
        <v>#REF!</v>
      </c>
      <c r="BT9" s="37">
        <f t="shared" si="30"/>
        <v>0</v>
      </c>
      <c r="BU9" s="37">
        <f t="shared" si="30"/>
        <v>0</v>
      </c>
      <c r="BV9" s="37" t="e">
        <f t="shared" si="30"/>
        <v>#REF!</v>
      </c>
      <c r="BW9" s="43" t="e">
        <f t="shared" si="30"/>
        <v>#REF!</v>
      </c>
      <c r="BY9" s="43" t="e">
        <f t="shared" si="31"/>
        <v>#VALUE!</v>
      </c>
      <c r="CA9" s="40">
        <f>'[1]FC2+10'!AA8</f>
        <v>0</v>
      </c>
      <c r="CC9" s="43">
        <f t="shared" si="32"/>
        <v>0</v>
      </c>
      <c r="CE9" s="35">
        <f>IF('[1]FC7+5'!S$3=1,'[1]FC7+5'!S8,"")</f>
        <v>0</v>
      </c>
      <c r="CF9" s="35">
        <f>IF('[1]FC7+5'!T$3=1,'[1]FC7+5'!T8,"")</f>
        <v>0</v>
      </c>
      <c r="CG9" s="35" t="str">
        <f>IF('[1]FC7+5'!U$3=1,'[1]FC7+5'!U8,"")</f>
        <v/>
      </c>
      <c r="CH9" s="47">
        <f t="shared" si="33"/>
        <v>0</v>
      </c>
      <c r="CI9" s="37">
        <f t="shared" si="34"/>
        <v>0</v>
      </c>
      <c r="CJ9" s="37">
        <f t="shared" si="9"/>
        <v>0</v>
      </c>
      <c r="CK9" s="37">
        <f t="shared" si="9"/>
        <v>0</v>
      </c>
      <c r="CL9" s="47">
        <f t="shared" si="9"/>
        <v>0</v>
      </c>
      <c r="CM9" s="47">
        <f>IF('[1]FC7+5'!AC$3=1,'[1]FC7+5'!AC8,"")</f>
        <v>0</v>
      </c>
      <c r="CN9" s="47">
        <f t="shared" si="35"/>
        <v>0</v>
      </c>
    </row>
    <row r="10" spans="2:92" ht="13.5" customHeight="1" outlineLevel="3">
      <c r="B10" s="30"/>
      <c r="C10" s="31" t="s">
        <v>82</v>
      </c>
      <c r="D10" s="31"/>
      <c r="E10" s="32"/>
      <c r="F10" s="33">
        <f>IF([1]Act!S$3=1,[1]Act!S9,"")</f>
        <v>0</v>
      </c>
      <c r="G10" s="33">
        <f>IF([1]Act!T$3=1,[1]Act!T9,"")</f>
        <v>0</v>
      </c>
      <c r="H10" s="33" t="str">
        <f>IF([1]Act!U$3=1,[1]Act!U9,"")</f>
        <v/>
      </c>
      <c r="I10" s="34">
        <f t="shared" si="10"/>
        <v>0</v>
      </c>
      <c r="K10" s="35">
        <f>IF([1]BP!S$3=1,[1]BP!S9,"")</f>
        <v>0</v>
      </c>
      <c r="L10" s="35">
        <f>IF([1]BP!T$3=1,[1]BP!T9,"")</f>
        <v>0</v>
      </c>
      <c r="M10" s="35" t="str">
        <f>IF([1]BP!U$3=1,[1]BP!U9,"")</f>
        <v/>
      </c>
      <c r="N10" s="36">
        <f t="shared" si="11"/>
        <v>0</v>
      </c>
      <c r="O10" s="37">
        <f t="shared" si="12"/>
        <v>0</v>
      </c>
      <c r="P10" s="37">
        <f t="shared" si="3"/>
        <v>0</v>
      </c>
      <c r="Q10" s="37">
        <f t="shared" si="3"/>
        <v>0</v>
      </c>
      <c r="R10" s="38">
        <f t="shared" si="13"/>
        <v>0</v>
      </c>
      <c r="S10" s="39"/>
      <c r="T10" s="35">
        <f>IF('[1]FC2+10'!S$3=1,'[1]FC2+10'!S9,"")</f>
        <v>0</v>
      </c>
      <c r="U10" s="35">
        <f>IF('[1]FC2+10'!T$3=1,'[1]FC2+10'!T9,"")</f>
        <v>0</v>
      </c>
      <c r="V10" s="35" t="str">
        <f>IF('[1]FC2+10'!U$3=1,'[1]FC2+10'!U9,"")</f>
        <v/>
      </c>
      <c r="W10" s="40">
        <f t="shared" si="14"/>
        <v>0</v>
      </c>
      <c r="X10" s="37">
        <f t="shared" si="15"/>
        <v>0</v>
      </c>
      <c r="Y10" s="37">
        <f t="shared" si="4"/>
        <v>0</v>
      </c>
      <c r="Z10" s="37">
        <f t="shared" si="4"/>
        <v>0</v>
      </c>
      <c r="AA10" s="41">
        <f>I10-W10</f>
        <v>0</v>
      </c>
      <c r="AB10" s="39"/>
      <c r="AC10" s="35">
        <f>IF([1]OL!S$3=1,[1]OL!S9,"")</f>
        <v>0</v>
      </c>
      <c r="AD10" s="35">
        <f>IF([1]OL!T$3=1,[1]OL!T9,"")</f>
        <v>0</v>
      </c>
      <c r="AE10" s="35" t="str">
        <f>IF([1]OL!U$3=1,[1]OL!U9,"")</f>
        <v/>
      </c>
      <c r="AF10" s="42">
        <f t="shared" si="16"/>
        <v>0</v>
      </c>
      <c r="AG10" s="37">
        <f t="shared" si="17"/>
        <v>0</v>
      </c>
      <c r="AH10" s="37">
        <f t="shared" si="6"/>
        <v>0</v>
      </c>
      <c r="AI10" s="37">
        <f t="shared" si="6"/>
        <v>0</v>
      </c>
      <c r="AJ10" s="43">
        <f t="shared" si="6"/>
        <v>0</v>
      </c>
      <c r="AK10" s="39"/>
      <c r="AL10" s="35">
        <f>IF([1]LY!S$3=1,[1]LY!S9,"")</f>
        <v>0</v>
      </c>
      <c r="AM10" s="35">
        <f>IF([1]LY!T$3=1,[1]LY!T9,"")</f>
        <v>0</v>
      </c>
      <c r="AN10" s="35" t="str">
        <f>IF([1]LY!U$3=1,[1]LY!U9,"")</f>
        <v/>
      </c>
      <c r="AO10" s="44">
        <f t="shared" si="18"/>
        <v>0</v>
      </c>
      <c r="AP10" s="37">
        <f t="shared" si="19"/>
        <v>0</v>
      </c>
      <c r="AQ10" s="37">
        <f t="shared" si="7"/>
        <v>0</v>
      </c>
      <c r="AR10" s="37">
        <f t="shared" si="7"/>
        <v>0</v>
      </c>
      <c r="AS10" s="45">
        <f t="shared" si="7"/>
        <v>0</v>
      </c>
      <c r="AU10" s="35">
        <f>[1]Act!L9</f>
        <v>0</v>
      </c>
      <c r="AV10" s="46" t="e">
        <f t="shared" si="20"/>
        <v>#VALUE!</v>
      </c>
      <c r="AW10" s="39"/>
      <c r="AX10" s="35">
        <f>IF('[1]FC5+7'!S$3=1,'[1]FC5+7'!S9,"")</f>
        <v>0</v>
      </c>
      <c r="AY10" s="35">
        <f>IF('[1]FC5+7'!T$3=1,'[1]FC5+7'!T9,"")</f>
        <v>0</v>
      </c>
      <c r="AZ10" s="35" t="str">
        <f>IF('[1]FC5+7'!U$3=1,'[1]FC5+7'!U9,"")</f>
        <v/>
      </c>
      <c r="BA10" s="40">
        <f t="shared" si="21"/>
        <v>0</v>
      </c>
      <c r="BB10" s="37">
        <f t="shared" si="22"/>
        <v>0</v>
      </c>
      <c r="BC10" s="37">
        <f t="shared" si="8"/>
        <v>0</v>
      </c>
      <c r="BD10" s="37">
        <f t="shared" si="8"/>
        <v>0</v>
      </c>
      <c r="BE10" s="41">
        <f t="shared" si="8"/>
        <v>0</v>
      </c>
      <c r="BG10" s="35">
        <f t="shared" si="23"/>
        <v>0</v>
      </c>
      <c r="BH10" s="35">
        <v>0</v>
      </c>
      <c r="BI10" s="35">
        <v>0</v>
      </c>
      <c r="BJ10" s="42">
        <f t="shared" si="24"/>
        <v>0</v>
      </c>
      <c r="BK10" s="37">
        <f t="shared" si="25"/>
        <v>0</v>
      </c>
      <c r="BL10" s="37">
        <f t="shared" si="25"/>
        <v>0</v>
      </c>
      <c r="BM10" s="37">
        <f t="shared" si="26"/>
        <v>0</v>
      </c>
      <c r="BN10" s="43">
        <f t="shared" si="27"/>
        <v>0</v>
      </c>
      <c r="BP10" s="35">
        <f t="shared" si="28"/>
        <v>0</v>
      </c>
      <c r="BQ10" s="35">
        <f t="shared" si="28"/>
        <v>0</v>
      </c>
      <c r="BR10" s="35" t="e">
        <f>#REF!</f>
        <v>#REF!</v>
      </c>
      <c r="BS10" s="42" t="e">
        <f t="shared" si="29"/>
        <v>#REF!</v>
      </c>
      <c r="BT10" s="37">
        <f t="shared" si="30"/>
        <v>0</v>
      </c>
      <c r="BU10" s="37">
        <f t="shared" si="30"/>
        <v>0</v>
      </c>
      <c r="BV10" s="37" t="e">
        <f t="shared" si="30"/>
        <v>#REF!</v>
      </c>
      <c r="BW10" s="43" t="e">
        <f t="shared" si="30"/>
        <v>#REF!</v>
      </c>
      <c r="BY10" s="43" t="e">
        <f t="shared" si="31"/>
        <v>#VALUE!</v>
      </c>
      <c r="CA10" s="40">
        <f>'[1]FC2+10'!AA9</f>
        <v>0</v>
      </c>
      <c r="CC10" s="43">
        <f t="shared" si="32"/>
        <v>0</v>
      </c>
      <c r="CE10" s="35">
        <f>IF('[1]FC7+5'!S$3=1,'[1]FC7+5'!S9,"")</f>
        <v>0</v>
      </c>
      <c r="CF10" s="35">
        <f>IF('[1]FC7+5'!T$3=1,'[1]FC7+5'!T9,"")</f>
        <v>0</v>
      </c>
      <c r="CG10" s="35" t="str">
        <f>IF('[1]FC7+5'!U$3=1,'[1]FC7+5'!U9,"")</f>
        <v/>
      </c>
      <c r="CH10" s="47">
        <f t="shared" si="33"/>
        <v>0</v>
      </c>
      <c r="CI10" s="37">
        <f t="shared" si="34"/>
        <v>0</v>
      </c>
      <c r="CJ10" s="37">
        <f t="shared" si="9"/>
        <v>0</v>
      </c>
      <c r="CK10" s="37">
        <f t="shared" si="9"/>
        <v>0</v>
      </c>
      <c r="CL10" s="47">
        <f t="shared" si="9"/>
        <v>0</v>
      </c>
      <c r="CM10" s="47">
        <f>IF('[1]FC7+5'!AC$3=1,'[1]FC7+5'!AC9,"")</f>
        <v>0</v>
      </c>
      <c r="CN10" s="47">
        <f t="shared" si="35"/>
        <v>0</v>
      </c>
    </row>
    <row r="11" spans="2:92" ht="13.5" customHeight="1" outlineLevel="3">
      <c r="B11" s="30"/>
      <c r="C11" s="31" t="s">
        <v>83</v>
      </c>
      <c r="D11" s="31"/>
      <c r="E11" s="32"/>
      <c r="F11" s="33">
        <f>IF([1]Act!S$3=1,[1]Act!S10,"")</f>
        <v>28.884</v>
      </c>
      <c r="G11" s="33">
        <f>IF([1]Act!T$3=1,[1]Act!T10,"")</f>
        <v>28.614000000000001</v>
      </c>
      <c r="H11" s="33" t="str">
        <f>IF([1]Act!U$3=1,[1]Act!U10,"")</f>
        <v/>
      </c>
      <c r="I11" s="34">
        <f t="shared" si="10"/>
        <v>57.498000000000005</v>
      </c>
      <c r="K11" s="35">
        <f>IF([1]BP!S$3=1,[1]BP!S10,"")</f>
        <v>36.118000000000002</v>
      </c>
      <c r="L11" s="35">
        <f>IF([1]BP!T$3=1,[1]BP!T10,"")</f>
        <v>36.347999999999999</v>
      </c>
      <c r="M11" s="35" t="str">
        <f>IF([1]BP!U$3=1,[1]BP!U10,"")</f>
        <v/>
      </c>
      <c r="N11" s="36">
        <f t="shared" si="11"/>
        <v>72.466000000000008</v>
      </c>
      <c r="O11" s="37">
        <f t="shared" si="12"/>
        <v>-7.2340000000000018</v>
      </c>
      <c r="P11" s="37">
        <f t="shared" si="3"/>
        <v>-7.7339999999999982</v>
      </c>
      <c r="Q11" s="37">
        <f t="shared" si="3"/>
        <v>0</v>
      </c>
      <c r="R11" s="38">
        <f t="shared" si="13"/>
        <v>-7.2340000000000018</v>
      </c>
      <c r="S11" s="39"/>
      <c r="T11" s="35">
        <f>IF('[1]FC2+10'!S$3=1,'[1]FC2+10'!S10,"")</f>
        <v>31.186</v>
      </c>
      <c r="U11" s="35">
        <f>IF('[1]FC2+10'!T$3=1,'[1]FC2+10'!T10,"")</f>
        <v>36.509</v>
      </c>
      <c r="V11" s="35" t="str">
        <f>IF('[1]FC2+10'!U$3=1,'[1]FC2+10'!U10,"")</f>
        <v/>
      </c>
      <c r="W11" s="40">
        <f t="shared" si="14"/>
        <v>67.694999999999993</v>
      </c>
      <c r="X11" s="37">
        <f t="shared" si="15"/>
        <v>-2.3019999999999996</v>
      </c>
      <c r="Y11" s="37">
        <f t="shared" si="4"/>
        <v>-7.8949999999999996</v>
      </c>
      <c r="Z11" s="37">
        <f t="shared" si="4"/>
        <v>0</v>
      </c>
      <c r="AA11" s="41">
        <f t="shared" si="5"/>
        <v>-10.196999999999989</v>
      </c>
      <c r="AB11" s="39"/>
      <c r="AC11" s="35">
        <f>IF([1]OL!S$3=1,[1]OL!S10,"")</f>
        <v>28.884</v>
      </c>
      <c r="AD11" s="35">
        <f>IF([1]OL!T$3=1,[1]OL!T10,"")</f>
        <v>32.723999999999997</v>
      </c>
      <c r="AE11" s="35" t="str">
        <f>IF([1]OL!U$3=1,[1]OL!U10,"")</f>
        <v/>
      </c>
      <c r="AF11" s="42">
        <f t="shared" si="16"/>
        <v>61.607999999999997</v>
      </c>
      <c r="AG11" s="37">
        <f t="shared" si="17"/>
        <v>0</v>
      </c>
      <c r="AH11" s="37">
        <f t="shared" si="6"/>
        <v>-4.1099999999999959</v>
      </c>
      <c r="AI11" s="37">
        <f t="shared" si="6"/>
        <v>0</v>
      </c>
      <c r="AJ11" s="43">
        <f t="shared" si="6"/>
        <v>-4.1099999999999923</v>
      </c>
      <c r="AK11" s="39"/>
      <c r="AL11" s="35">
        <f>IF([1]LY!S$3=1,[1]LY!S10,"")</f>
        <v>28.094000000000001</v>
      </c>
      <c r="AM11" s="35">
        <f>IF([1]LY!T$3=1,[1]LY!T10,"")</f>
        <v>33.4</v>
      </c>
      <c r="AN11" s="35" t="str">
        <f>IF([1]LY!U$3=1,[1]LY!U10,"")</f>
        <v/>
      </c>
      <c r="AO11" s="44">
        <f t="shared" si="18"/>
        <v>61.494</v>
      </c>
      <c r="AP11" s="37">
        <f t="shared" si="19"/>
        <v>0.78999999999999915</v>
      </c>
      <c r="AQ11" s="37">
        <f t="shared" si="7"/>
        <v>-4.7859999999999978</v>
      </c>
      <c r="AR11" s="37">
        <f t="shared" si="7"/>
        <v>0</v>
      </c>
      <c r="AS11" s="45">
        <f t="shared" si="7"/>
        <v>-3.9959999999999951</v>
      </c>
      <c r="AU11" s="35">
        <f>[1]Act!L10</f>
        <v>31.667000000000002</v>
      </c>
      <c r="AV11" s="46" t="e">
        <f t="shared" si="20"/>
        <v>#VALUE!</v>
      </c>
      <c r="AW11" s="39"/>
      <c r="AX11" s="35">
        <f>IF('[1]FC5+7'!S$3=1,'[1]FC5+7'!S10,"")</f>
        <v>30.05</v>
      </c>
      <c r="AY11" s="35">
        <f>IF('[1]FC5+7'!T$3=1,'[1]FC5+7'!T10,"")</f>
        <v>35.488999999999997</v>
      </c>
      <c r="AZ11" s="35" t="str">
        <f>IF('[1]FC5+7'!U$3=1,'[1]FC5+7'!U10,"")</f>
        <v/>
      </c>
      <c r="BA11" s="40">
        <f t="shared" si="21"/>
        <v>65.539000000000001</v>
      </c>
      <c r="BB11" s="37">
        <f t="shared" si="22"/>
        <v>-1.1660000000000004</v>
      </c>
      <c r="BC11" s="37">
        <f t="shared" si="8"/>
        <v>-6.8749999999999964</v>
      </c>
      <c r="BD11" s="37">
        <f t="shared" si="8"/>
        <v>0</v>
      </c>
      <c r="BE11" s="41">
        <f t="shared" si="8"/>
        <v>-8.0409999999999968</v>
      </c>
      <c r="BG11" s="35">
        <f t="shared" si="23"/>
        <v>28.884</v>
      </c>
      <c r="BH11" s="35">
        <v>20.751999999999999</v>
      </c>
      <c r="BI11" s="35">
        <v>33.695</v>
      </c>
      <c r="BJ11" s="42">
        <f t="shared" si="24"/>
        <v>83.330999999999989</v>
      </c>
      <c r="BK11" s="37">
        <f t="shared" si="25"/>
        <v>0</v>
      </c>
      <c r="BL11" s="37">
        <f t="shared" si="25"/>
        <v>-4.1099999999999959</v>
      </c>
      <c r="BM11" s="37">
        <f t="shared" si="26"/>
        <v>0</v>
      </c>
      <c r="BN11" s="43">
        <f t="shared" si="27"/>
        <v>-25.832999999999984</v>
      </c>
      <c r="BP11" s="35">
        <f t="shared" si="28"/>
        <v>28.884</v>
      </c>
      <c r="BQ11" s="35">
        <f t="shared" si="28"/>
        <v>28.614000000000001</v>
      </c>
      <c r="BR11" s="35" t="e">
        <f>#REF!</f>
        <v>#REF!</v>
      </c>
      <c r="BS11" s="42" t="e">
        <f t="shared" si="29"/>
        <v>#REF!</v>
      </c>
      <c r="BT11" s="37">
        <f t="shared" si="30"/>
        <v>0</v>
      </c>
      <c r="BU11" s="37">
        <f t="shared" si="30"/>
        <v>-4.1099999999999959</v>
      </c>
      <c r="BV11" s="37" t="e">
        <f t="shared" si="30"/>
        <v>#REF!</v>
      </c>
      <c r="BW11" s="43" t="e">
        <f t="shared" si="30"/>
        <v>#REF!</v>
      </c>
      <c r="BY11" s="43" t="e">
        <f t="shared" si="31"/>
        <v>#VALUE!</v>
      </c>
      <c r="CA11" s="40">
        <f>'[1]FC2+10'!AA10</f>
        <v>76.488</v>
      </c>
      <c r="CC11" s="43">
        <f t="shared" si="32"/>
        <v>18.989999999999995</v>
      </c>
      <c r="CE11" s="35">
        <f>IF('[1]FC7+5'!S$3=1,'[1]FC7+5'!S10,"")</f>
        <v>28.492999999999999</v>
      </c>
      <c r="CF11" s="35">
        <f>IF('[1]FC7+5'!T$3=1,'[1]FC7+5'!T10,"")</f>
        <v>32.271000000000001</v>
      </c>
      <c r="CG11" s="35" t="str">
        <f>IF('[1]FC7+5'!U$3=1,'[1]FC7+5'!U10,"")</f>
        <v/>
      </c>
      <c r="CH11" s="47">
        <f t="shared" si="33"/>
        <v>60.763999999999996</v>
      </c>
      <c r="CI11" s="37">
        <f t="shared" si="34"/>
        <v>0.39100000000000179</v>
      </c>
      <c r="CJ11" s="37">
        <f t="shared" si="9"/>
        <v>-3.657</v>
      </c>
      <c r="CK11" s="37">
        <f t="shared" si="9"/>
        <v>0</v>
      </c>
      <c r="CL11" s="47">
        <f t="shared" si="9"/>
        <v>-3.2659999999999911</v>
      </c>
      <c r="CM11" s="47">
        <f>IF('[1]FC7+5'!AC$3=1,'[1]FC7+5'!AC10,"")</f>
        <v>107.63399999999999</v>
      </c>
      <c r="CN11" s="47">
        <f t="shared" si="35"/>
        <v>-50.135999999999981</v>
      </c>
    </row>
    <row r="12" spans="2:92" ht="13.5" customHeight="1" outlineLevel="3">
      <c r="B12" s="30"/>
      <c r="C12" s="31" t="s">
        <v>84</v>
      </c>
      <c r="D12" s="31"/>
      <c r="E12" s="32"/>
      <c r="F12" s="33">
        <f>IF([1]Act!S$3=1,[1]Act!S11,"")</f>
        <v>2E-3</v>
      </c>
      <c r="G12" s="33">
        <f>IF([1]Act!T$3=1,[1]Act!T11,"")</f>
        <v>4.0000000000000001E-3</v>
      </c>
      <c r="H12" s="33" t="str">
        <f>IF([1]Act!U$3=1,[1]Act!U11,"")</f>
        <v/>
      </c>
      <c r="I12" s="34">
        <f t="shared" si="10"/>
        <v>6.0000000000000001E-3</v>
      </c>
      <c r="K12" s="35">
        <f>IF([1]BP!S$3=1,[1]BP!S11,"")</f>
        <v>0</v>
      </c>
      <c r="L12" s="35">
        <f>IF([1]BP!T$3=1,[1]BP!T11,"")</f>
        <v>0</v>
      </c>
      <c r="M12" s="35" t="str">
        <f>IF([1]BP!U$3=1,[1]BP!U11,"")</f>
        <v/>
      </c>
      <c r="N12" s="36">
        <f t="shared" si="11"/>
        <v>0</v>
      </c>
      <c r="O12" s="37">
        <f t="shared" si="12"/>
        <v>2E-3</v>
      </c>
      <c r="P12" s="37">
        <f t="shared" si="3"/>
        <v>4.0000000000000001E-3</v>
      </c>
      <c r="Q12" s="37">
        <f t="shared" si="3"/>
        <v>0</v>
      </c>
      <c r="R12" s="38">
        <f t="shared" si="13"/>
        <v>2E-3</v>
      </c>
      <c r="S12" s="39"/>
      <c r="T12" s="35">
        <f>IF('[1]FC2+10'!S$3=1,'[1]FC2+10'!S11,"")</f>
        <v>0</v>
      </c>
      <c r="U12" s="35">
        <f>IF('[1]FC2+10'!T$3=1,'[1]FC2+10'!T11,"")</f>
        <v>0</v>
      </c>
      <c r="V12" s="35" t="str">
        <f>IF('[1]FC2+10'!U$3=1,'[1]FC2+10'!U11,"")</f>
        <v/>
      </c>
      <c r="W12" s="40">
        <f t="shared" si="14"/>
        <v>0</v>
      </c>
      <c r="X12" s="37">
        <f t="shared" si="15"/>
        <v>2E-3</v>
      </c>
      <c r="Y12" s="37">
        <f t="shared" si="4"/>
        <v>4.0000000000000001E-3</v>
      </c>
      <c r="Z12" s="37">
        <f t="shared" si="4"/>
        <v>0</v>
      </c>
      <c r="AA12" s="41">
        <f t="shared" si="5"/>
        <v>6.0000000000000001E-3</v>
      </c>
      <c r="AB12" s="39"/>
      <c r="AC12" s="35">
        <f>IF([1]OL!S$3=1,[1]OL!S11,"")</f>
        <v>2E-3</v>
      </c>
      <c r="AD12" s="35">
        <f>IF([1]OL!T$3=1,[1]OL!T11,"")</f>
        <v>0</v>
      </c>
      <c r="AE12" s="35" t="str">
        <f>IF([1]OL!U$3=1,[1]OL!U11,"")</f>
        <v/>
      </c>
      <c r="AF12" s="42">
        <f t="shared" si="16"/>
        <v>2E-3</v>
      </c>
      <c r="AG12" s="37">
        <f t="shared" si="17"/>
        <v>0</v>
      </c>
      <c r="AH12" s="37">
        <f t="shared" si="6"/>
        <v>4.0000000000000001E-3</v>
      </c>
      <c r="AI12" s="37">
        <f t="shared" si="6"/>
        <v>0</v>
      </c>
      <c r="AJ12" s="43">
        <f t="shared" si="6"/>
        <v>4.0000000000000001E-3</v>
      </c>
      <c r="AK12" s="39"/>
      <c r="AL12" s="35">
        <f>IF([1]LY!S$3=1,[1]LY!S11,"")</f>
        <v>1.0999999999999999E-2</v>
      </c>
      <c r="AM12" s="35">
        <f>IF([1]LY!T$3=1,[1]LY!T11,"")</f>
        <v>8.0000000000000002E-3</v>
      </c>
      <c r="AN12" s="35" t="str">
        <f>IF([1]LY!U$3=1,[1]LY!U11,"")</f>
        <v/>
      </c>
      <c r="AO12" s="44">
        <f t="shared" si="18"/>
        <v>1.9E-2</v>
      </c>
      <c r="AP12" s="37">
        <f t="shared" si="19"/>
        <v>-8.9999999999999993E-3</v>
      </c>
      <c r="AQ12" s="37">
        <f t="shared" si="7"/>
        <v>-4.0000000000000001E-3</v>
      </c>
      <c r="AR12" s="37">
        <f t="shared" si="7"/>
        <v>0</v>
      </c>
      <c r="AS12" s="45">
        <f t="shared" si="7"/>
        <v>-1.2999999999999999E-2</v>
      </c>
      <c r="AU12" s="35">
        <f>[1]Act!L11</f>
        <v>0</v>
      </c>
      <c r="AV12" s="46" t="e">
        <f t="shared" si="20"/>
        <v>#VALUE!</v>
      </c>
      <c r="AW12" s="39"/>
      <c r="AX12" s="35">
        <f>IF('[1]FC5+7'!S$3=1,'[1]FC5+7'!S11,"")</f>
        <v>5.0000000000000001E-3</v>
      </c>
      <c r="AY12" s="35">
        <f>IF('[1]FC5+7'!T$3=1,'[1]FC5+7'!T11,"")</f>
        <v>7.0000000000000001E-3</v>
      </c>
      <c r="AZ12" s="35" t="str">
        <f>IF('[1]FC5+7'!U$3=1,'[1]FC5+7'!U11,"")</f>
        <v/>
      </c>
      <c r="BA12" s="40">
        <f t="shared" si="21"/>
        <v>1.2E-2</v>
      </c>
      <c r="BB12" s="37">
        <f t="shared" si="22"/>
        <v>-3.0000000000000001E-3</v>
      </c>
      <c r="BC12" s="37">
        <f t="shared" si="8"/>
        <v>-3.0000000000000001E-3</v>
      </c>
      <c r="BD12" s="37">
        <f t="shared" si="8"/>
        <v>0</v>
      </c>
      <c r="BE12" s="41">
        <f t="shared" si="8"/>
        <v>-6.0000000000000001E-3</v>
      </c>
      <c r="BG12" s="35">
        <f t="shared" si="23"/>
        <v>2E-3</v>
      </c>
      <c r="BH12" s="35">
        <v>0</v>
      </c>
      <c r="BI12" s="35">
        <v>0</v>
      </c>
      <c r="BJ12" s="42">
        <f t="shared" si="24"/>
        <v>2E-3</v>
      </c>
      <c r="BK12" s="37">
        <f t="shared" si="25"/>
        <v>0</v>
      </c>
      <c r="BL12" s="37">
        <f t="shared" si="25"/>
        <v>4.0000000000000001E-3</v>
      </c>
      <c r="BM12" s="37">
        <f t="shared" si="26"/>
        <v>0</v>
      </c>
      <c r="BN12" s="43">
        <f t="shared" si="27"/>
        <v>4.0000000000000001E-3</v>
      </c>
      <c r="BP12" s="35">
        <f t="shared" si="28"/>
        <v>2E-3</v>
      </c>
      <c r="BQ12" s="35">
        <f t="shared" si="28"/>
        <v>4.0000000000000001E-3</v>
      </c>
      <c r="BR12" s="35" t="e">
        <f>#REF!</f>
        <v>#REF!</v>
      </c>
      <c r="BS12" s="42" t="e">
        <f t="shared" si="29"/>
        <v>#REF!</v>
      </c>
      <c r="BT12" s="37">
        <f t="shared" si="30"/>
        <v>0</v>
      </c>
      <c r="BU12" s="37">
        <f t="shared" si="30"/>
        <v>4.0000000000000001E-3</v>
      </c>
      <c r="BV12" s="37" t="e">
        <f t="shared" si="30"/>
        <v>#REF!</v>
      </c>
      <c r="BW12" s="43" t="e">
        <f t="shared" si="30"/>
        <v>#REF!</v>
      </c>
      <c r="BY12" s="43" t="e">
        <f t="shared" si="31"/>
        <v>#VALUE!</v>
      </c>
      <c r="CA12" s="40">
        <f>'[1]FC2+10'!AA11</f>
        <v>3.2000000000000001E-2</v>
      </c>
      <c r="CC12" s="43">
        <f t="shared" si="32"/>
        <v>2.6000000000000002E-2</v>
      </c>
      <c r="CE12" s="35">
        <f>IF('[1]FC7+5'!S$3=1,'[1]FC7+5'!S11,"")</f>
        <v>1.4E-2</v>
      </c>
      <c r="CF12" s="35">
        <f>IF('[1]FC7+5'!T$3=1,'[1]FC7+5'!T11,"")</f>
        <v>1.9E-2</v>
      </c>
      <c r="CG12" s="35" t="str">
        <f>IF('[1]FC7+5'!U$3=1,'[1]FC7+5'!U11,"")</f>
        <v/>
      </c>
      <c r="CH12" s="47">
        <f t="shared" si="33"/>
        <v>3.3000000000000002E-2</v>
      </c>
      <c r="CI12" s="37">
        <f t="shared" si="34"/>
        <v>-1.2E-2</v>
      </c>
      <c r="CJ12" s="37">
        <f t="shared" si="9"/>
        <v>-1.4999999999999999E-2</v>
      </c>
      <c r="CK12" s="37">
        <f t="shared" si="9"/>
        <v>0</v>
      </c>
      <c r="CL12" s="47">
        <f t="shared" si="9"/>
        <v>-2.7000000000000003E-2</v>
      </c>
      <c r="CM12" s="47">
        <f>IF('[1]FC7+5'!AC$3=1,'[1]FC7+5'!AC11,"")</f>
        <v>6.0999999999999999E-2</v>
      </c>
      <c r="CN12" s="47">
        <f t="shared" si="35"/>
        <v>-5.5E-2</v>
      </c>
    </row>
    <row r="13" spans="2:92" ht="13.35" customHeight="1" outlineLevel="3">
      <c r="B13" s="30"/>
      <c r="C13" s="31" t="s">
        <v>85</v>
      </c>
      <c r="D13" s="31"/>
      <c r="E13" s="32"/>
      <c r="F13" s="33">
        <f>IF([1]Act!S$3=1,[1]Act!S12,"")</f>
        <v>0</v>
      </c>
      <c r="G13" s="33">
        <f>IF([1]Act!T$3=1,[1]Act!T12,"")</f>
        <v>0</v>
      </c>
      <c r="H13" s="33" t="str">
        <f>IF([1]Act!U$3=1,[1]Act!U12,"")</f>
        <v/>
      </c>
      <c r="I13" s="48">
        <f t="shared" si="10"/>
        <v>0</v>
      </c>
      <c r="K13" s="49">
        <f>IF([1]BP!S$3=1,[1]BP!S12,"")</f>
        <v>0</v>
      </c>
      <c r="L13" s="49">
        <f>IF([1]BP!T$3=1,[1]BP!T12,"")</f>
        <v>0</v>
      </c>
      <c r="M13" s="49" t="str">
        <f>IF([1]BP!U$3=1,[1]BP!U12,"")</f>
        <v/>
      </c>
      <c r="N13" s="50">
        <f t="shared" si="11"/>
        <v>0</v>
      </c>
      <c r="O13" s="37">
        <f t="shared" si="12"/>
        <v>0</v>
      </c>
      <c r="P13" s="37">
        <f t="shared" si="3"/>
        <v>0</v>
      </c>
      <c r="Q13" s="37">
        <f t="shared" si="3"/>
        <v>0</v>
      </c>
      <c r="R13" s="51">
        <f t="shared" si="13"/>
        <v>0</v>
      </c>
      <c r="S13" s="39"/>
      <c r="T13" s="35">
        <f>IF('[1]FC2+10'!S$3=1,'[1]FC2+10'!S12,"")</f>
        <v>0</v>
      </c>
      <c r="U13" s="49">
        <f>IF('[1]FC2+10'!T$3=1,'[1]FC2+10'!T12,"")</f>
        <v>0</v>
      </c>
      <c r="V13" s="49" t="str">
        <f>IF('[1]FC2+10'!U$3=1,'[1]FC2+10'!U12,"")</f>
        <v/>
      </c>
      <c r="W13" s="52">
        <f t="shared" si="14"/>
        <v>0</v>
      </c>
      <c r="X13" s="37">
        <f t="shared" si="15"/>
        <v>0</v>
      </c>
      <c r="Y13" s="37">
        <f t="shared" si="4"/>
        <v>0</v>
      </c>
      <c r="Z13" s="37">
        <f t="shared" si="4"/>
        <v>0</v>
      </c>
      <c r="AA13" s="53">
        <f t="shared" si="5"/>
        <v>0</v>
      </c>
      <c r="AB13" s="39"/>
      <c r="AC13" s="35">
        <f>IF([1]OL!S$3=1,[1]OL!S12,"")</f>
        <v>0</v>
      </c>
      <c r="AD13" s="35">
        <f>IF([1]OL!T$3=1,[1]OL!T12,"")</f>
        <v>0</v>
      </c>
      <c r="AE13" s="35" t="str">
        <f>IF([1]OL!U$3=1,[1]OL!U12,"")</f>
        <v/>
      </c>
      <c r="AF13" s="54">
        <f t="shared" si="16"/>
        <v>0</v>
      </c>
      <c r="AG13" s="37">
        <f t="shared" si="17"/>
        <v>0</v>
      </c>
      <c r="AH13" s="37">
        <f t="shared" si="6"/>
        <v>0</v>
      </c>
      <c r="AI13" s="37">
        <f t="shared" si="6"/>
        <v>0</v>
      </c>
      <c r="AJ13" s="55">
        <f t="shared" si="6"/>
        <v>0</v>
      </c>
      <c r="AK13" s="39"/>
      <c r="AL13" s="35">
        <f>IF([1]LY!S$3=1,[1]LY!S12,"")</f>
        <v>0</v>
      </c>
      <c r="AM13" s="35">
        <f>IF([1]LY!T$3=1,[1]LY!T12,"")</f>
        <v>0</v>
      </c>
      <c r="AN13" s="35" t="str">
        <f>IF([1]LY!U$3=1,[1]LY!U12,"")</f>
        <v/>
      </c>
      <c r="AO13" s="56">
        <f t="shared" si="18"/>
        <v>0</v>
      </c>
      <c r="AP13" s="37">
        <f t="shared" si="19"/>
        <v>0</v>
      </c>
      <c r="AQ13" s="37">
        <f t="shared" si="7"/>
        <v>0</v>
      </c>
      <c r="AR13" s="37">
        <f t="shared" si="7"/>
        <v>0</v>
      </c>
      <c r="AS13" s="57">
        <f t="shared" si="7"/>
        <v>0</v>
      </c>
      <c r="AU13" s="35">
        <f>[1]Act!L12</f>
        <v>0</v>
      </c>
      <c r="AV13" s="46" t="e">
        <f t="shared" si="20"/>
        <v>#VALUE!</v>
      </c>
      <c r="AW13" s="39"/>
      <c r="AX13" s="35">
        <f>IF('[1]FC5+7'!S$3=1,'[1]FC5+7'!S12,"")</f>
        <v>0</v>
      </c>
      <c r="AY13" s="35">
        <f>IF('[1]FC5+7'!T$3=1,'[1]FC5+7'!T12,"")</f>
        <v>0</v>
      </c>
      <c r="AZ13" s="35" t="str">
        <f>IF('[1]FC5+7'!U$3=1,'[1]FC5+7'!U12,"")</f>
        <v/>
      </c>
      <c r="BA13" s="52">
        <f t="shared" si="21"/>
        <v>0</v>
      </c>
      <c r="BB13" s="37">
        <f t="shared" si="22"/>
        <v>0</v>
      </c>
      <c r="BC13" s="37">
        <f t="shared" si="8"/>
        <v>0</v>
      </c>
      <c r="BD13" s="37">
        <f t="shared" si="8"/>
        <v>0</v>
      </c>
      <c r="BE13" s="53">
        <f t="shared" si="8"/>
        <v>0</v>
      </c>
      <c r="BG13" s="35">
        <f t="shared" si="23"/>
        <v>0</v>
      </c>
      <c r="BH13" s="35">
        <v>0</v>
      </c>
      <c r="BI13" s="35">
        <v>0</v>
      </c>
      <c r="BJ13" s="54">
        <f t="shared" si="24"/>
        <v>0</v>
      </c>
      <c r="BK13" s="37">
        <f t="shared" si="25"/>
        <v>0</v>
      </c>
      <c r="BL13" s="37">
        <f t="shared" si="25"/>
        <v>0</v>
      </c>
      <c r="BM13" s="37">
        <f t="shared" si="26"/>
        <v>0</v>
      </c>
      <c r="BN13" s="55">
        <f t="shared" si="27"/>
        <v>0</v>
      </c>
      <c r="BP13" s="35">
        <f t="shared" si="28"/>
        <v>0</v>
      </c>
      <c r="BQ13" s="35">
        <f t="shared" si="28"/>
        <v>0</v>
      </c>
      <c r="BR13" s="35" t="e">
        <f>#REF!</f>
        <v>#REF!</v>
      </c>
      <c r="BS13" s="54" t="e">
        <f t="shared" si="29"/>
        <v>#REF!</v>
      </c>
      <c r="BT13" s="37">
        <f t="shared" si="30"/>
        <v>0</v>
      </c>
      <c r="BU13" s="37">
        <f t="shared" si="30"/>
        <v>0</v>
      </c>
      <c r="BV13" s="37" t="e">
        <f t="shared" si="30"/>
        <v>#REF!</v>
      </c>
      <c r="BW13" s="55" t="e">
        <f t="shared" si="30"/>
        <v>#REF!</v>
      </c>
      <c r="BY13" s="55" t="e">
        <f t="shared" si="31"/>
        <v>#VALUE!</v>
      </c>
      <c r="CA13" s="52">
        <f>'[1]FC2+10'!AA12</f>
        <v>0</v>
      </c>
      <c r="CC13" s="55">
        <f t="shared" si="32"/>
        <v>0</v>
      </c>
      <c r="CE13" s="35">
        <f>IF('[1]FC7+5'!S$3=1,'[1]FC7+5'!S12,"")</f>
        <v>0</v>
      </c>
      <c r="CF13" s="35">
        <f>IF('[1]FC7+5'!T$3=1,'[1]FC7+5'!T12,"")</f>
        <v>0</v>
      </c>
      <c r="CG13" s="35" t="str">
        <f>IF('[1]FC7+5'!U$3=1,'[1]FC7+5'!U12,"")</f>
        <v/>
      </c>
      <c r="CH13" s="58">
        <f t="shared" si="33"/>
        <v>0</v>
      </c>
      <c r="CI13" s="37">
        <f t="shared" si="34"/>
        <v>0</v>
      </c>
      <c r="CJ13" s="37">
        <f t="shared" si="9"/>
        <v>0</v>
      </c>
      <c r="CK13" s="37">
        <f t="shared" si="9"/>
        <v>0</v>
      </c>
      <c r="CL13" s="58">
        <f t="shared" si="9"/>
        <v>0</v>
      </c>
      <c r="CM13" s="47">
        <f>IF('[1]FC7+5'!AC$3=1,'[1]FC7+5'!AC12,"")</f>
        <v>0</v>
      </c>
      <c r="CN13" s="47">
        <f t="shared" si="35"/>
        <v>0</v>
      </c>
    </row>
    <row r="14" spans="2:92" ht="13.5" customHeight="1" outlineLevel="3">
      <c r="B14" s="30"/>
      <c r="C14" s="31" t="s">
        <v>86</v>
      </c>
      <c r="D14" s="31"/>
      <c r="E14" s="32"/>
      <c r="F14" s="59">
        <f>IF([1]Act!S$3=1,[1]Act!S13,"")</f>
        <v>0.34899999999999998</v>
      </c>
      <c r="G14" s="59">
        <f>IF([1]Act!T$3=1,[1]Act!T13,"")</f>
        <v>0.72699999999999998</v>
      </c>
      <c r="H14" s="59" t="str">
        <f>IF([1]Act!U$3=1,[1]Act!U13,"")</f>
        <v/>
      </c>
      <c r="I14" s="48">
        <f t="shared" si="10"/>
        <v>1.0760000000000001</v>
      </c>
      <c r="K14" s="49">
        <f>IF([1]BP!S$3=1,[1]BP!S13,"")</f>
        <v>1.3220000000000001</v>
      </c>
      <c r="L14" s="49">
        <f>IF([1]BP!T$3=1,[1]BP!T13,"")</f>
        <v>1.042</v>
      </c>
      <c r="M14" s="49" t="str">
        <f>IF([1]BP!U$3=1,[1]BP!U13,"")</f>
        <v/>
      </c>
      <c r="N14" s="50">
        <f t="shared" si="11"/>
        <v>2.3639999999999999</v>
      </c>
      <c r="O14" s="37">
        <f t="shared" si="12"/>
        <v>-0.97300000000000009</v>
      </c>
      <c r="P14" s="37">
        <f t="shared" si="3"/>
        <v>-0.31500000000000006</v>
      </c>
      <c r="Q14" s="37">
        <f t="shared" si="3"/>
        <v>0</v>
      </c>
      <c r="R14" s="51">
        <f t="shared" si="13"/>
        <v>-0.97300000000000009</v>
      </c>
      <c r="S14" s="39"/>
      <c r="T14" s="49">
        <f>IF('[1]FC2+10'!S$3=1,'[1]FC2+10'!S13,"")</f>
        <v>1.534</v>
      </c>
      <c r="U14" s="49">
        <f>IF('[1]FC2+10'!T$3=1,'[1]FC2+10'!T13,"")</f>
        <v>1.28</v>
      </c>
      <c r="V14" s="49" t="str">
        <f>IF('[1]FC2+10'!U$3=1,'[1]FC2+10'!U13,"")</f>
        <v/>
      </c>
      <c r="W14" s="52">
        <f t="shared" si="14"/>
        <v>2.8140000000000001</v>
      </c>
      <c r="X14" s="37">
        <f t="shared" si="15"/>
        <v>-1.1850000000000001</v>
      </c>
      <c r="Y14" s="37">
        <f t="shared" si="4"/>
        <v>-0.55300000000000005</v>
      </c>
      <c r="Z14" s="37">
        <f t="shared" si="4"/>
        <v>0</v>
      </c>
      <c r="AA14" s="53">
        <f t="shared" si="5"/>
        <v>-1.738</v>
      </c>
      <c r="AB14" s="39"/>
      <c r="AC14" s="35">
        <f>IF([1]OL!S$3=1,[1]OL!S13,"")</f>
        <v>0.34899999999999998</v>
      </c>
      <c r="AD14" s="35">
        <f>IF([1]OL!T$3=1,[1]OL!T13,"")</f>
        <v>0.86699999999999999</v>
      </c>
      <c r="AE14" s="35" t="str">
        <f>IF([1]OL!U$3=1,[1]OL!U13,"")</f>
        <v/>
      </c>
      <c r="AF14" s="54">
        <f t="shared" si="16"/>
        <v>1.216</v>
      </c>
      <c r="AG14" s="37">
        <f t="shared" si="17"/>
        <v>0</v>
      </c>
      <c r="AH14" s="37">
        <f t="shared" si="6"/>
        <v>-0.14000000000000001</v>
      </c>
      <c r="AI14" s="37">
        <f t="shared" si="6"/>
        <v>0</v>
      </c>
      <c r="AJ14" s="55">
        <f t="shared" si="6"/>
        <v>-0.1399999999999999</v>
      </c>
      <c r="AK14" s="39"/>
      <c r="AL14" s="35">
        <f>IF([1]LY!S$3=1,[1]LY!S13,"")</f>
        <v>0.75900000000000001</v>
      </c>
      <c r="AM14" s="35">
        <f>IF([1]LY!T$3=1,[1]LY!T13,"")</f>
        <v>0.85</v>
      </c>
      <c r="AN14" s="35" t="str">
        <f>IF([1]LY!U$3=1,[1]LY!U13,"")</f>
        <v/>
      </c>
      <c r="AO14" s="56">
        <f t="shared" si="18"/>
        <v>1.609</v>
      </c>
      <c r="AP14" s="37">
        <f t="shared" si="19"/>
        <v>-0.41000000000000003</v>
      </c>
      <c r="AQ14" s="37">
        <f t="shared" si="7"/>
        <v>-0.123</v>
      </c>
      <c r="AR14" s="37">
        <f t="shared" si="7"/>
        <v>0</v>
      </c>
      <c r="AS14" s="57">
        <f t="shared" si="7"/>
        <v>-0.53299999999999992</v>
      </c>
      <c r="AU14" s="49">
        <f>[1]Act!L13</f>
        <v>0.625</v>
      </c>
      <c r="AV14" s="46" t="e">
        <f t="shared" si="20"/>
        <v>#VALUE!</v>
      </c>
      <c r="AW14" s="39"/>
      <c r="AX14" s="35">
        <f>IF('[1]FC5+7'!S$3=1,'[1]FC5+7'!S13,"")</f>
        <v>0.98099999999999998</v>
      </c>
      <c r="AY14" s="35">
        <f>IF('[1]FC5+7'!T$3=1,'[1]FC5+7'!T13,"")</f>
        <v>1.1080000000000001</v>
      </c>
      <c r="AZ14" s="35" t="str">
        <f>IF('[1]FC5+7'!U$3=1,'[1]FC5+7'!U13,"")</f>
        <v/>
      </c>
      <c r="BA14" s="52">
        <f t="shared" si="21"/>
        <v>2.089</v>
      </c>
      <c r="BB14" s="37">
        <f t="shared" si="22"/>
        <v>-0.63200000000000001</v>
      </c>
      <c r="BC14" s="37">
        <f t="shared" si="8"/>
        <v>-0.38100000000000012</v>
      </c>
      <c r="BD14" s="37">
        <f t="shared" si="8"/>
        <v>0</v>
      </c>
      <c r="BE14" s="53">
        <f t="shared" si="8"/>
        <v>-1.0129999999999999</v>
      </c>
      <c r="BG14" s="49">
        <f t="shared" si="23"/>
        <v>0.34899999999999998</v>
      </c>
      <c r="BH14" s="49">
        <v>0.86699999999999999</v>
      </c>
      <c r="BI14" s="49">
        <v>1.0449999999999999</v>
      </c>
      <c r="BJ14" s="54">
        <f t="shared" si="24"/>
        <v>2.2610000000000001</v>
      </c>
      <c r="BK14" s="37">
        <f t="shared" si="25"/>
        <v>0</v>
      </c>
      <c r="BL14" s="37">
        <f t="shared" si="25"/>
        <v>-0.14000000000000001</v>
      </c>
      <c r="BM14" s="37">
        <f t="shared" si="26"/>
        <v>0</v>
      </c>
      <c r="BN14" s="55">
        <f t="shared" si="27"/>
        <v>-1.1850000000000001</v>
      </c>
      <c r="BP14" s="35">
        <f t="shared" si="28"/>
        <v>0.34899999999999998</v>
      </c>
      <c r="BQ14" s="35">
        <f t="shared" si="28"/>
        <v>0.72699999999999998</v>
      </c>
      <c r="BR14" s="35" t="e">
        <f>#REF!</f>
        <v>#REF!</v>
      </c>
      <c r="BS14" s="54" t="e">
        <f t="shared" si="29"/>
        <v>#REF!</v>
      </c>
      <c r="BT14" s="37">
        <f t="shared" si="30"/>
        <v>0</v>
      </c>
      <c r="BU14" s="37">
        <f t="shared" si="30"/>
        <v>-0.14000000000000001</v>
      </c>
      <c r="BV14" s="37" t="e">
        <f t="shared" si="30"/>
        <v>#REF!</v>
      </c>
      <c r="BW14" s="55" t="e">
        <f t="shared" si="30"/>
        <v>#REF!</v>
      </c>
      <c r="BY14" s="55" t="e">
        <f t="shared" si="31"/>
        <v>#VALUE!</v>
      </c>
      <c r="CA14" s="52">
        <f>'[1]FC2+10'!AA13</f>
        <v>2.6859999999999999</v>
      </c>
      <c r="CC14" s="55">
        <f t="shared" si="32"/>
        <v>1.6099999999999999</v>
      </c>
      <c r="CE14" s="35">
        <f>IF('[1]FC7+5'!S$3=1,'[1]FC7+5'!S13,"")</f>
        <v>1.0720000000000001</v>
      </c>
      <c r="CF14" s="35">
        <f>IF('[1]FC7+5'!T$3=1,'[1]FC7+5'!T13,"")</f>
        <v>0.72299999999999998</v>
      </c>
      <c r="CG14" s="35" t="str">
        <f>IF('[1]FC7+5'!U$3=1,'[1]FC7+5'!U13,"")</f>
        <v/>
      </c>
      <c r="CH14" s="58">
        <f t="shared" si="33"/>
        <v>1.7949999999999999</v>
      </c>
      <c r="CI14" s="37">
        <f t="shared" si="34"/>
        <v>-0.72300000000000009</v>
      </c>
      <c r="CJ14" s="37">
        <f t="shared" si="9"/>
        <v>4.0000000000000036E-3</v>
      </c>
      <c r="CK14" s="37">
        <f t="shared" si="9"/>
        <v>0</v>
      </c>
      <c r="CL14" s="58">
        <f t="shared" si="9"/>
        <v>-0.71899999999999986</v>
      </c>
      <c r="CM14" s="47">
        <f>IF('[1]FC7+5'!AC$3=1,'[1]FC7+5'!AC13,"")</f>
        <v>2.3839999999999999</v>
      </c>
      <c r="CN14" s="47">
        <f t="shared" si="35"/>
        <v>-1.3079999999999998</v>
      </c>
    </row>
    <row r="15" spans="2:92" ht="13.5" customHeight="1" outlineLevel="3">
      <c r="B15" s="60"/>
      <c r="C15" s="61"/>
      <c r="F15" s="62"/>
      <c r="I15" s="63"/>
      <c r="AV15" s="64"/>
      <c r="BT15" s="1">
        <f t="shared" si="30"/>
        <v>0</v>
      </c>
      <c r="BU15" s="1">
        <f t="shared" si="30"/>
        <v>0</v>
      </c>
      <c r="BV15" s="1">
        <f t="shared" si="30"/>
        <v>0</v>
      </c>
      <c r="BW15" s="1">
        <f t="shared" si="30"/>
        <v>0</v>
      </c>
      <c r="CC15" s="1">
        <f t="shared" si="32"/>
        <v>0</v>
      </c>
      <c r="CH15" s="7"/>
      <c r="CL15" s="7"/>
      <c r="CM15" s="7"/>
    </row>
    <row r="16" spans="2:92" ht="13.5" customHeight="1" outlineLevel="3">
      <c r="B16" s="60"/>
      <c r="C16" s="61"/>
      <c r="D16" s="61"/>
      <c r="E16" s="60"/>
      <c r="F16" s="62"/>
      <c r="I16" s="63"/>
      <c r="AV16" s="64"/>
      <c r="BT16" s="1">
        <f t="shared" si="30"/>
        <v>0</v>
      </c>
      <c r="BU16" s="1">
        <f t="shared" si="30"/>
        <v>0</v>
      </c>
      <c r="BV16" s="1">
        <f t="shared" si="30"/>
        <v>0</v>
      </c>
      <c r="BW16" s="1">
        <f t="shared" si="30"/>
        <v>0</v>
      </c>
      <c r="CC16" s="1">
        <f t="shared" si="32"/>
        <v>0</v>
      </c>
      <c r="CH16" s="7"/>
      <c r="CL16" s="7"/>
      <c r="CM16" s="7"/>
    </row>
    <row r="17" spans="2:92" ht="14.25" customHeight="1" outlineLevel="2">
      <c r="B17" s="65"/>
      <c r="C17" s="65"/>
      <c r="D17" s="66" t="s">
        <v>30</v>
      </c>
      <c r="E17" s="66"/>
      <c r="F17" s="67"/>
      <c r="G17" s="68"/>
      <c r="H17" s="68"/>
      <c r="I17" s="69"/>
      <c r="K17" s="68"/>
      <c r="L17" s="68"/>
      <c r="M17" s="68"/>
      <c r="N17" s="70"/>
      <c r="O17" s="71">
        <f t="shared" ref="O17:Q48" si="36">IFERROR(F17-K17,0)</f>
        <v>0</v>
      </c>
      <c r="P17" s="71">
        <f t="shared" si="36"/>
        <v>0</v>
      </c>
      <c r="Q17" s="71">
        <f t="shared" si="36"/>
        <v>0</v>
      </c>
      <c r="R17" s="72">
        <f t="shared" ref="R17:R48" si="37">I17-N17</f>
        <v>0</v>
      </c>
      <c r="S17" s="73"/>
      <c r="T17" s="68"/>
      <c r="U17" s="68"/>
      <c r="V17" s="68"/>
      <c r="W17" s="74"/>
      <c r="X17" s="71">
        <f t="shared" ref="X17:Z48" si="38">IFERROR(F17-T17,0)</f>
        <v>0</v>
      </c>
      <c r="Y17" s="71">
        <f t="shared" si="38"/>
        <v>0</v>
      </c>
      <c r="Z17" s="71">
        <f t="shared" si="38"/>
        <v>0</v>
      </c>
      <c r="AA17" s="75">
        <f t="shared" ref="AA17:AA48" si="39">I17-W17</f>
        <v>0</v>
      </c>
      <c r="AB17" s="73"/>
      <c r="AC17" s="68"/>
      <c r="AD17" s="68"/>
      <c r="AE17" s="68">
        <v>0</v>
      </c>
      <c r="AF17" s="76"/>
      <c r="AG17" s="71">
        <f t="shared" ref="AG17:AJ48" si="40">IFERROR(F17-AC17,0)</f>
        <v>0</v>
      </c>
      <c r="AH17" s="71">
        <f t="shared" si="40"/>
        <v>0</v>
      </c>
      <c r="AI17" s="71">
        <f t="shared" si="40"/>
        <v>0</v>
      </c>
      <c r="AJ17" s="77">
        <f t="shared" si="40"/>
        <v>0</v>
      </c>
      <c r="AK17" s="73"/>
      <c r="AL17" s="68"/>
      <c r="AM17" s="68"/>
      <c r="AN17" s="68"/>
      <c r="AO17" s="78"/>
      <c r="AP17" s="71">
        <f t="shared" ref="AP17:AS48" si="41">IFERROR(F17-AL17,0)</f>
        <v>0</v>
      </c>
      <c r="AQ17" s="71">
        <f t="shared" si="41"/>
        <v>0</v>
      </c>
      <c r="AR17" s="71">
        <f t="shared" si="41"/>
        <v>0</v>
      </c>
      <c r="AS17" s="79">
        <f t="shared" si="41"/>
        <v>0</v>
      </c>
      <c r="AU17" s="68">
        <f>[1]Act!L16</f>
        <v>0</v>
      </c>
      <c r="AV17" s="75">
        <f t="shared" si="20"/>
        <v>0</v>
      </c>
      <c r="AW17" s="73"/>
      <c r="AX17" s="68"/>
      <c r="AY17" s="68"/>
      <c r="AZ17" s="68"/>
      <c r="BA17" s="74"/>
      <c r="BB17" s="71">
        <f t="shared" ref="BB17:BE48" si="42">IFERROR(F17-AX17,0)</f>
        <v>0</v>
      </c>
      <c r="BC17" s="71">
        <f t="shared" si="42"/>
        <v>0</v>
      </c>
      <c r="BD17" s="71">
        <f t="shared" si="42"/>
        <v>0</v>
      </c>
      <c r="BE17" s="75">
        <f t="shared" si="42"/>
        <v>0</v>
      </c>
      <c r="BG17" s="68">
        <f t="shared" si="23"/>
        <v>0</v>
      </c>
      <c r="BH17" s="68"/>
      <c r="BI17" s="68"/>
      <c r="BJ17" s="76"/>
      <c r="BK17" s="71">
        <f t="shared" si="25"/>
        <v>0</v>
      </c>
      <c r="BL17" s="71">
        <f t="shared" si="25"/>
        <v>0</v>
      </c>
      <c r="BM17" s="71">
        <f t="shared" si="26"/>
        <v>0</v>
      </c>
      <c r="BN17" s="77">
        <f t="shared" si="27"/>
        <v>0</v>
      </c>
      <c r="BP17" s="68">
        <f t="shared" si="28"/>
        <v>0</v>
      </c>
      <c r="BQ17" s="68">
        <f t="shared" si="28"/>
        <v>0</v>
      </c>
      <c r="BR17" s="68" t="e">
        <f>#REF!</f>
        <v>#REF!</v>
      </c>
      <c r="BS17" s="76"/>
      <c r="BT17" s="71">
        <f t="shared" si="30"/>
        <v>0</v>
      </c>
      <c r="BU17" s="71">
        <f t="shared" si="30"/>
        <v>0</v>
      </c>
      <c r="BV17" s="71" t="e">
        <f t="shared" si="30"/>
        <v>#REF!</v>
      </c>
      <c r="BW17" s="77">
        <f t="shared" si="30"/>
        <v>0</v>
      </c>
      <c r="BY17" s="77" t="e">
        <f t="shared" si="31"/>
        <v>#REF!</v>
      </c>
      <c r="CA17" s="74">
        <f>'[1]FC2+10'!AA16</f>
        <v>0</v>
      </c>
      <c r="CC17" s="77">
        <f t="shared" si="32"/>
        <v>0</v>
      </c>
      <c r="CE17" s="68"/>
      <c r="CF17" s="68"/>
      <c r="CG17" s="68"/>
      <c r="CH17" s="80"/>
      <c r="CI17" s="71">
        <f t="shared" ref="CI17:CL23" si="43">IFERROR(F17-CE17,0)</f>
        <v>0</v>
      </c>
      <c r="CJ17" s="71">
        <f t="shared" si="43"/>
        <v>0</v>
      </c>
      <c r="CK17" s="71">
        <f t="shared" si="43"/>
        <v>0</v>
      </c>
      <c r="CL17" s="80">
        <f t="shared" si="43"/>
        <v>0</v>
      </c>
      <c r="CM17" s="47"/>
      <c r="CN17" s="47">
        <f t="shared" si="35"/>
        <v>0</v>
      </c>
    </row>
    <row r="18" spans="2:92" ht="14.25" customHeight="1" outlineLevel="2">
      <c r="B18" s="81"/>
      <c r="C18" s="81"/>
      <c r="D18" s="82" t="s">
        <v>31</v>
      </c>
      <c r="E18" s="82"/>
      <c r="F18" s="83"/>
      <c r="G18" s="84"/>
      <c r="H18" s="84"/>
      <c r="I18" s="85"/>
      <c r="K18" s="84"/>
      <c r="L18" s="84"/>
      <c r="M18" s="84"/>
      <c r="N18" s="86"/>
      <c r="O18" s="87">
        <f t="shared" si="36"/>
        <v>0</v>
      </c>
      <c r="P18" s="87">
        <f t="shared" si="36"/>
        <v>0</v>
      </c>
      <c r="Q18" s="87">
        <f t="shared" si="36"/>
        <v>0</v>
      </c>
      <c r="R18" s="88">
        <f t="shared" si="37"/>
        <v>0</v>
      </c>
      <c r="S18" s="73"/>
      <c r="T18" s="84"/>
      <c r="U18" s="84"/>
      <c r="V18" s="84"/>
      <c r="W18" s="89"/>
      <c r="X18" s="87">
        <f t="shared" si="38"/>
        <v>0</v>
      </c>
      <c r="Y18" s="87">
        <f t="shared" si="38"/>
        <v>0</v>
      </c>
      <c r="Z18" s="87">
        <f t="shared" si="38"/>
        <v>0</v>
      </c>
      <c r="AA18" s="90">
        <f t="shared" si="39"/>
        <v>0</v>
      </c>
      <c r="AB18" s="73"/>
      <c r="AC18" s="84"/>
      <c r="AD18" s="84"/>
      <c r="AE18" s="84">
        <v>0</v>
      </c>
      <c r="AF18" s="91"/>
      <c r="AG18" s="87">
        <f t="shared" si="40"/>
        <v>0</v>
      </c>
      <c r="AH18" s="87">
        <f t="shared" si="40"/>
        <v>0</v>
      </c>
      <c r="AI18" s="87">
        <f t="shared" si="40"/>
        <v>0</v>
      </c>
      <c r="AJ18" s="92">
        <f t="shared" si="40"/>
        <v>0</v>
      </c>
      <c r="AK18" s="73"/>
      <c r="AL18" s="84"/>
      <c r="AM18" s="84"/>
      <c r="AN18" s="84"/>
      <c r="AO18" s="93"/>
      <c r="AP18" s="87">
        <f t="shared" si="41"/>
        <v>0</v>
      </c>
      <c r="AQ18" s="87">
        <f t="shared" si="41"/>
        <v>0</v>
      </c>
      <c r="AR18" s="87">
        <f t="shared" si="41"/>
        <v>0</v>
      </c>
      <c r="AS18" s="94">
        <f t="shared" si="41"/>
        <v>0</v>
      </c>
      <c r="AU18" s="84">
        <f>[1]Act!L17</f>
        <v>0</v>
      </c>
      <c r="AV18" s="90">
        <f t="shared" si="20"/>
        <v>0</v>
      </c>
      <c r="AW18" s="73"/>
      <c r="AX18" s="84"/>
      <c r="AY18" s="84"/>
      <c r="AZ18" s="84"/>
      <c r="BA18" s="89"/>
      <c r="BB18" s="87">
        <f t="shared" si="42"/>
        <v>0</v>
      </c>
      <c r="BC18" s="87">
        <f t="shared" si="42"/>
        <v>0</v>
      </c>
      <c r="BD18" s="87">
        <f t="shared" si="42"/>
        <v>0</v>
      </c>
      <c r="BE18" s="90">
        <f t="shared" si="42"/>
        <v>0</v>
      </c>
      <c r="BG18" s="84">
        <f t="shared" si="23"/>
        <v>0</v>
      </c>
      <c r="BH18" s="84"/>
      <c r="BI18" s="84"/>
      <c r="BJ18" s="91"/>
      <c r="BK18" s="87">
        <f t="shared" si="25"/>
        <v>0</v>
      </c>
      <c r="BL18" s="87">
        <f t="shared" si="25"/>
        <v>0</v>
      </c>
      <c r="BM18" s="87">
        <f t="shared" si="26"/>
        <v>0</v>
      </c>
      <c r="BN18" s="92">
        <f t="shared" si="27"/>
        <v>0</v>
      </c>
      <c r="BP18" s="84">
        <f t="shared" si="28"/>
        <v>0</v>
      </c>
      <c r="BQ18" s="84">
        <f t="shared" si="28"/>
        <v>0</v>
      </c>
      <c r="BR18" s="84" t="e">
        <f>#REF!</f>
        <v>#REF!</v>
      </c>
      <c r="BS18" s="91"/>
      <c r="BT18" s="87">
        <f t="shared" si="30"/>
        <v>0</v>
      </c>
      <c r="BU18" s="87">
        <f t="shared" si="30"/>
        <v>0</v>
      </c>
      <c r="BV18" s="87" t="e">
        <f t="shared" si="30"/>
        <v>#REF!</v>
      </c>
      <c r="BW18" s="92">
        <f t="shared" si="30"/>
        <v>0</v>
      </c>
      <c r="BY18" s="92" t="e">
        <f t="shared" si="31"/>
        <v>#REF!</v>
      </c>
      <c r="CA18" s="89">
        <f>'[1]FC2+10'!AA17</f>
        <v>0</v>
      </c>
      <c r="CC18" s="92">
        <f t="shared" si="32"/>
        <v>0</v>
      </c>
      <c r="CE18" s="84"/>
      <c r="CF18" s="84"/>
      <c r="CG18" s="84"/>
      <c r="CH18" s="95"/>
      <c r="CI18" s="87">
        <f t="shared" si="43"/>
        <v>0</v>
      </c>
      <c r="CJ18" s="87">
        <f t="shared" si="43"/>
        <v>0</v>
      </c>
      <c r="CK18" s="87">
        <f t="shared" si="43"/>
        <v>0</v>
      </c>
      <c r="CL18" s="95">
        <f t="shared" si="43"/>
        <v>0</v>
      </c>
      <c r="CM18" s="47"/>
      <c r="CN18" s="47">
        <f t="shared" si="35"/>
        <v>0</v>
      </c>
    </row>
    <row r="19" spans="2:92" ht="14.25" customHeight="1" outlineLevel="2">
      <c r="B19" s="96" t="s">
        <v>87</v>
      </c>
      <c r="C19" s="97"/>
      <c r="D19" s="98"/>
      <c r="E19" s="98"/>
      <c r="F19" s="99">
        <f>IF([1]Act!S$3=1,[1]Act!S18,"")</f>
        <v>867.43498238986717</v>
      </c>
      <c r="G19" s="99">
        <f>IF([1]Act!T$3=1,[1]Act!T18,"")</f>
        <v>905.42756402582847</v>
      </c>
      <c r="H19" s="99" t="str">
        <f>IF([1]Act!U$3=1,[1]Act!U18,"")</f>
        <v/>
      </c>
      <c r="I19" s="69">
        <f>SUM(F19:H19)</f>
        <v>1772.8625464156958</v>
      </c>
      <c r="K19" s="71">
        <f>IF([1]BP!S$3=1,[1]BP!S18,"")</f>
        <v>1161.6573736139853</v>
      </c>
      <c r="L19" s="71">
        <f>IF([1]BP!T$3=1,[1]BP!T18,"")</f>
        <v>1222.462947288413</v>
      </c>
      <c r="M19" s="71" t="str">
        <f>IF([1]BP!U$3=1,[1]BP!U18,"")</f>
        <v/>
      </c>
      <c r="N19" s="70">
        <f>SUM(K19:M19)</f>
        <v>2384.1203209023984</v>
      </c>
      <c r="O19" s="100">
        <f t="shared" si="36"/>
        <v>-294.22239122411816</v>
      </c>
      <c r="P19" s="100">
        <f t="shared" si="36"/>
        <v>-317.03538326258456</v>
      </c>
      <c r="Q19" s="100">
        <f t="shared" si="36"/>
        <v>0</v>
      </c>
      <c r="R19" s="72">
        <f t="shared" si="37"/>
        <v>-611.2577744867026</v>
      </c>
      <c r="S19" s="73"/>
      <c r="T19" s="71">
        <f>IF('[1]FC2+10'!S$3=1,'[1]FC2+10'!S18,"")</f>
        <v>1044.632340268377</v>
      </c>
      <c r="U19" s="71">
        <f>IF('[1]FC2+10'!T$3=1,'[1]FC2+10'!T18,"")</f>
        <v>1227.7206516251183</v>
      </c>
      <c r="V19" s="71" t="str">
        <f>IF('[1]FC2+10'!U$3=1,'[1]FC2+10'!U18,"")</f>
        <v/>
      </c>
      <c r="W19" s="74">
        <f>SUM(T19:V19)</f>
        <v>2272.3529918934955</v>
      </c>
      <c r="X19" s="100">
        <f t="shared" si="38"/>
        <v>-177.19735787850982</v>
      </c>
      <c r="Y19" s="100">
        <f t="shared" si="38"/>
        <v>-322.29308759928983</v>
      </c>
      <c r="Z19" s="100">
        <f t="shared" si="38"/>
        <v>0</v>
      </c>
      <c r="AA19" s="75">
        <f t="shared" si="39"/>
        <v>-499.49044547779977</v>
      </c>
      <c r="AB19" s="73"/>
      <c r="AC19" s="71">
        <f>IF([1]OL!S$3=1,[1]OL!S18,"")</f>
        <v>867.43498238986717</v>
      </c>
      <c r="AD19" s="71">
        <f>IF([1]OL!T$3=1,[1]OL!T18,"")</f>
        <v>998.88562123033262</v>
      </c>
      <c r="AE19" s="71" t="str">
        <f>IF([1]OL!U$3=1,[1]OL!U18,"")</f>
        <v/>
      </c>
      <c r="AF19" s="76">
        <f>SUM(AC19:AE19)</f>
        <v>1866.3206036201998</v>
      </c>
      <c r="AG19" s="100">
        <f t="shared" si="40"/>
        <v>0</v>
      </c>
      <c r="AH19" s="100">
        <f t="shared" si="40"/>
        <v>-93.458057204504144</v>
      </c>
      <c r="AI19" s="100">
        <f t="shared" si="40"/>
        <v>0</v>
      </c>
      <c r="AJ19" s="77">
        <f t="shared" si="40"/>
        <v>-93.45805720450403</v>
      </c>
      <c r="AK19" s="73"/>
      <c r="AL19" s="71">
        <f>IF([1]LY!S$3=1,[1]LY!S18,"")</f>
        <v>916.31424625114596</v>
      </c>
      <c r="AM19" s="71">
        <f>IF([1]LY!T$3=1,[1]LY!T18,"")</f>
        <v>1042.4731386127964</v>
      </c>
      <c r="AN19" s="71" t="str">
        <f>IF([1]LY!U$3=1,[1]LY!U18,"")</f>
        <v/>
      </c>
      <c r="AO19" s="78">
        <f>SUM(AL19:AN19)</f>
        <v>1958.7873848639424</v>
      </c>
      <c r="AP19" s="100">
        <f t="shared" si="41"/>
        <v>-48.879263861278787</v>
      </c>
      <c r="AQ19" s="100">
        <f t="shared" si="41"/>
        <v>-137.04557458696797</v>
      </c>
      <c r="AR19" s="100">
        <f t="shared" si="41"/>
        <v>0</v>
      </c>
      <c r="AS19" s="79">
        <f t="shared" si="41"/>
        <v>-185.92483844824665</v>
      </c>
      <c r="AU19" s="71">
        <f>[1]Act!L18</f>
        <v>972.88695918759436</v>
      </c>
      <c r="AV19" s="101" t="e">
        <f t="shared" si="20"/>
        <v>#VALUE!</v>
      </c>
      <c r="AW19" s="73"/>
      <c r="AX19" s="71">
        <f>IF('[1]FC5+7'!S$3=1,'[1]FC5+7'!S18,"")</f>
        <v>972.03011379459099</v>
      </c>
      <c r="AY19" s="71">
        <f>IF('[1]FC5+7'!T$3=1,'[1]FC5+7'!T18,"")</f>
        <v>1131.4637987576864</v>
      </c>
      <c r="AZ19" s="71" t="str">
        <f>IF('[1]FC5+7'!U$3=1,'[1]FC5+7'!U18,"")</f>
        <v/>
      </c>
      <c r="BA19" s="74">
        <f>SUM(AX19:AZ19)</f>
        <v>2103.4939125522774</v>
      </c>
      <c r="BB19" s="100">
        <f t="shared" si="42"/>
        <v>-104.59513140472382</v>
      </c>
      <c r="BC19" s="100">
        <f t="shared" si="42"/>
        <v>-226.03623473185792</v>
      </c>
      <c r="BD19" s="100">
        <f t="shared" si="42"/>
        <v>0</v>
      </c>
      <c r="BE19" s="75">
        <f t="shared" si="42"/>
        <v>-330.63136613658162</v>
      </c>
      <c r="BG19" s="102">
        <f t="shared" si="23"/>
        <v>867.43498238986717</v>
      </c>
      <c r="BH19" s="71">
        <v>710.14442041303096</v>
      </c>
      <c r="BI19" s="71">
        <v>1097.4923267793154</v>
      </c>
      <c r="BJ19" s="76">
        <f>SUM(BG19:BI19)</f>
        <v>2675.0717295822133</v>
      </c>
      <c r="BK19" s="100">
        <f t="shared" si="25"/>
        <v>0</v>
      </c>
      <c r="BL19" s="100">
        <f t="shared" si="25"/>
        <v>-93.458057204504144</v>
      </c>
      <c r="BM19" s="100">
        <f t="shared" si="26"/>
        <v>0</v>
      </c>
      <c r="BN19" s="77">
        <f t="shared" si="27"/>
        <v>-902.20918316651751</v>
      </c>
      <c r="BP19" s="71">
        <f t="shared" si="28"/>
        <v>867.43498238986717</v>
      </c>
      <c r="BQ19" s="71">
        <f t="shared" si="28"/>
        <v>905.42756402582847</v>
      </c>
      <c r="BR19" s="71" t="e">
        <f>#REF!</f>
        <v>#REF!</v>
      </c>
      <c r="BS19" s="76" t="e">
        <f>SUM(BP19:BR19)</f>
        <v>#REF!</v>
      </c>
      <c r="BT19" s="100">
        <f t="shared" si="30"/>
        <v>0</v>
      </c>
      <c r="BU19" s="100">
        <f t="shared" si="30"/>
        <v>-93.458057204504144</v>
      </c>
      <c r="BV19" s="100" t="e">
        <f t="shared" si="30"/>
        <v>#REF!</v>
      </c>
      <c r="BW19" s="77" t="e">
        <f t="shared" si="30"/>
        <v>#REF!</v>
      </c>
      <c r="BY19" s="77" t="e">
        <f t="shared" si="31"/>
        <v>#VALUE!</v>
      </c>
      <c r="CA19" s="74">
        <f>'[1]FC2+10'!AA18</f>
        <v>2654.6861493172946</v>
      </c>
      <c r="CC19" s="77">
        <f t="shared" si="32"/>
        <v>881.82360290159886</v>
      </c>
      <c r="CE19" s="71">
        <f>IF('[1]FC7+5'!S$3=1,'[1]FC7+5'!S18,"")</f>
        <v>911.20953238443497</v>
      </c>
      <c r="CF19" s="71">
        <f>IF('[1]FC7+5'!T$3=1,'[1]FC7+5'!T18,"")</f>
        <v>1010.9437166237826</v>
      </c>
      <c r="CG19" s="71" t="str">
        <f>IF('[1]FC7+5'!U$3=1,'[1]FC7+5'!U18,"")</f>
        <v/>
      </c>
      <c r="CH19" s="80">
        <f>SUM(CE19:CG19)</f>
        <v>1922.1532490082177</v>
      </c>
      <c r="CI19" s="100">
        <f t="shared" si="43"/>
        <v>-43.774549994567792</v>
      </c>
      <c r="CJ19" s="100">
        <f t="shared" si="43"/>
        <v>-105.51615259795415</v>
      </c>
      <c r="CK19" s="100">
        <f t="shared" si="43"/>
        <v>0</v>
      </c>
      <c r="CL19" s="80">
        <f t="shared" si="43"/>
        <v>-149.29070259252194</v>
      </c>
      <c r="CM19" s="47">
        <f>IF('[1]FC7+5'!AC$3=1,'[1]FC7+5'!AC18,"")</f>
        <v>3313.6771300840082</v>
      </c>
      <c r="CN19" s="47">
        <f t="shared" si="35"/>
        <v>-1540.8145836683125</v>
      </c>
    </row>
    <row r="20" spans="2:92" ht="14.25" customHeight="1" outlineLevel="2">
      <c r="B20" s="81"/>
      <c r="C20" s="65"/>
      <c r="D20" s="66" t="s">
        <v>32</v>
      </c>
      <c r="E20" s="66"/>
      <c r="F20" s="67"/>
      <c r="G20" s="68"/>
      <c r="H20" s="68"/>
      <c r="I20" s="69"/>
      <c r="K20" s="68"/>
      <c r="L20" s="68"/>
      <c r="M20" s="68"/>
      <c r="N20" s="70"/>
      <c r="O20" s="71">
        <f t="shared" si="36"/>
        <v>0</v>
      </c>
      <c r="P20" s="71">
        <f t="shared" si="36"/>
        <v>0</v>
      </c>
      <c r="Q20" s="71">
        <f t="shared" si="36"/>
        <v>0</v>
      </c>
      <c r="R20" s="72">
        <f t="shared" si="37"/>
        <v>0</v>
      </c>
      <c r="S20" s="73"/>
      <c r="T20" s="68"/>
      <c r="U20" s="68"/>
      <c r="V20" s="68"/>
      <c r="W20" s="74"/>
      <c r="X20" s="71">
        <f t="shared" si="38"/>
        <v>0</v>
      </c>
      <c r="Y20" s="71">
        <f t="shared" si="38"/>
        <v>0</v>
      </c>
      <c r="Z20" s="71">
        <f t="shared" si="38"/>
        <v>0</v>
      </c>
      <c r="AA20" s="75">
        <f t="shared" si="39"/>
        <v>0</v>
      </c>
      <c r="AB20" s="73"/>
      <c r="AC20" s="68"/>
      <c r="AD20" s="68"/>
      <c r="AE20" s="68">
        <v>0</v>
      </c>
      <c r="AF20" s="76"/>
      <c r="AG20" s="71">
        <f t="shared" si="40"/>
        <v>0</v>
      </c>
      <c r="AH20" s="71">
        <f t="shared" si="40"/>
        <v>0</v>
      </c>
      <c r="AI20" s="71">
        <f t="shared" si="40"/>
        <v>0</v>
      </c>
      <c r="AJ20" s="77">
        <f t="shared" si="40"/>
        <v>0</v>
      </c>
      <c r="AK20" s="73"/>
      <c r="AL20" s="68"/>
      <c r="AM20" s="68"/>
      <c r="AN20" s="68"/>
      <c r="AO20" s="78"/>
      <c r="AP20" s="71">
        <f t="shared" si="41"/>
        <v>0</v>
      </c>
      <c r="AQ20" s="71">
        <f t="shared" si="41"/>
        <v>0</v>
      </c>
      <c r="AR20" s="71">
        <f t="shared" si="41"/>
        <v>0</v>
      </c>
      <c r="AS20" s="79">
        <f t="shared" si="41"/>
        <v>0</v>
      </c>
      <c r="AU20" s="68">
        <f>[1]Act!L19</f>
        <v>0</v>
      </c>
      <c r="AV20" s="75">
        <f t="shared" si="20"/>
        <v>0</v>
      </c>
      <c r="AW20" s="73"/>
      <c r="AX20" s="68"/>
      <c r="AY20" s="68"/>
      <c r="AZ20" s="68"/>
      <c r="BA20" s="74"/>
      <c r="BB20" s="71">
        <f t="shared" si="42"/>
        <v>0</v>
      </c>
      <c r="BC20" s="71">
        <f t="shared" si="42"/>
        <v>0</v>
      </c>
      <c r="BD20" s="71">
        <f t="shared" si="42"/>
        <v>0</v>
      </c>
      <c r="BE20" s="75">
        <f t="shared" si="42"/>
        <v>0</v>
      </c>
      <c r="BG20" s="68">
        <f t="shared" si="23"/>
        <v>0</v>
      </c>
      <c r="BH20" s="68"/>
      <c r="BI20" s="68"/>
      <c r="BJ20" s="76"/>
      <c r="BK20" s="71">
        <f t="shared" si="25"/>
        <v>0</v>
      </c>
      <c r="BL20" s="71"/>
      <c r="BM20" s="71"/>
      <c r="BN20" s="77">
        <f t="shared" si="27"/>
        <v>0</v>
      </c>
      <c r="BP20" s="68"/>
      <c r="BQ20" s="68"/>
      <c r="BR20" s="68"/>
      <c r="BS20" s="76"/>
      <c r="BT20" s="71">
        <f t="shared" si="30"/>
        <v>0</v>
      </c>
      <c r="BU20" s="71">
        <f t="shared" si="30"/>
        <v>0</v>
      </c>
      <c r="BV20" s="71">
        <f t="shared" si="30"/>
        <v>0</v>
      </c>
      <c r="BW20" s="77">
        <f t="shared" si="30"/>
        <v>0</v>
      </c>
      <c r="BY20" s="77">
        <f t="shared" si="31"/>
        <v>0</v>
      </c>
      <c r="CA20" s="74">
        <f>'[1]FC2+10'!AA19</f>
        <v>0</v>
      </c>
      <c r="CC20" s="77">
        <f t="shared" si="32"/>
        <v>0</v>
      </c>
      <c r="CE20" s="68"/>
      <c r="CF20" s="68"/>
      <c r="CG20" s="68"/>
      <c r="CH20" s="80"/>
      <c r="CI20" s="71">
        <f t="shared" si="43"/>
        <v>0</v>
      </c>
      <c r="CJ20" s="71">
        <f t="shared" si="43"/>
        <v>0</v>
      </c>
      <c r="CK20" s="71">
        <f t="shared" si="43"/>
        <v>0</v>
      </c>
      <c r="CL20" s="80">
        <f t="shared" si="43"/>
        <v>0</v>
      </c>
      <c r="CM20" s="47"/>
      <c r="CN20" s="47">
        <f t="shared" si="35"/>
        <v>0</v>
      </c>
    </row>
    <row r="21" spans="2:92" ht="14.25" customHeight="1" outlineLevel="2">
      <c r="B21" s="81"/>
      <c r="C21" s="103"/>
      <c r="D21" s="104" t="s">
        <v>33</v>
      </c>
      <c r="E21" s="104"/>
      <c r="F21" s="83"/>
      <c r="G21" s="84"/>
      <c r="H21" s="84"/>
      <c r="I21" s="85"/>
      <c r="K21" s="84"/>
      <c r="L21" s="84"/>
      <c r="M21" s="84"/>
      <c r="N21" s="86"/>
      <c r="O21" s="87">
        <f t="shared" si="36"/>
        <v>0</v>
      </c>
      <c r="P21" s="87">
        <f t="shared" si="36"/>
        <v>0</v>
      </c>
      <c r="Q21" s="87">
        <f t="shared" si="36"/>
        <v>0</v>
      </c>
      <c r="R21" s="88">
        <f t="shared" si="37"/>
        <v>0</v>
      </c>
      <c r="S21" s="73"/>
      <c r="T21" s="84"/>
      <c r="U21" s="84"/>
      <c r="V21" s="84"/>
      <c r="W21" s="89"/>
      <c r="X21" s="87">
        <f t="shared" si="38"/>
        <v>0</v>
      </c>
      <c r="Y21" s="87">
        <f t="shared" si="38"/>
        <v>0</v>
      </c>
      <c r="Z21" s="87">
        <f t="shared" si="38"/>
        <v>0</v>
      </c>
      <c r="AA21" s="90">
        <f t="shared" si="39"/>
        <v>0</v>
      </c>
      <c r="AB21" s="73"/>
      <c r="AC21" s="84"/>
      <c r="AD21" s="84"/>
      <c r="AE21" s="84">
        <v>0</v>
      </c>
      <c r="AF21" s="91"/>
      <c r="AG21" s="87">
        <f t="shared" si="40"/>
        <v>0</v>
      </c>
      <c r="AH21" s="87">
        <f t="shared" si="40"/>
        <v>0</v>
      </c>
      <c r="AI21" s="87">
        <f t="shared" si="40"/>
        <v>0</v>
      </c>
      <c r="AJ21" s="92">
        <f t="shared" si="40"/>
        <v>0</v>
      </c>
      <c r="AK21" s="73"/>
      <c r="AL21" s="84"/>
      <c r="AM21" s="84"/>
      <c r="AN21" s="84"/>
      <c r="AO21" s="93"/>
      <c r="AP21" s="87">
        <f t="shared" si="41"/>
        <v>0</v>
      </c>
      <c r="AQ21" s="87">
        <f t="shared" si="41"/>
        <v>0</v>
      </c>
      <c r="AR21" s="87">
        <f t="shared" si="41"/>
        <v>0</v>
      </c>
      <c r="AS21" s="94">
        <f t="shared" si="41"/>
        <v>0</v>
      </c>
      <c r="AU21" s="84">
        <f>[1]Act!L20</f>
        <v>0</v>
      </c>
      <c r="AV21" s="90">
        <f t="shared" si="20"/>
        <v>0</v>
      </c>
      <c r="AW21" s="73"/>
      <c r="AX21" s="84"/>
      <c r="AY21" s="84"/>
      <c r="AZ21" s="84"/>
      <c r="BA21" s="89"/>
      <c r="BB21" s="87">
        <f t="shared" si="42"/>
        <v>0</v>
      </c>
      <c r="BC21" s="87">
        <f t="shared" si="42"/>
        <v>0</v>
      </c>
      <c r="BD21" s="87">
        <f t="shared" si="42"/>
        <v>0</v>
      </c>
      <c r="BE21" s="90">
        <f t="shared" si="42"/>
        <v>0</v>
      </c>
      <c r="BG21" s="84">
        <f t="shared" si="23"/>
        <v>0</v>
      </c>
      <c r="BH21" s="84"/>
      <c r="BI21" s="84"/>
      <c r="BJ21" s="91"/>
      <c r="BK21" s="87">
        <f t="shared" si="25"/>
        <v>0</v>
      </c>
      <c r="BL21" s="87"/>
      <c r="BM21" s="87"/>
      <c r="BN21" s="92">
        <f t="shared" si="27"/>
        <v>0</v>
      </c>
      <c r="BP21" s="84"/>
      <c r="BQ21" s="84"/>
      <c r="BR21" s="84"/>
      <c r="BS21" s="91"/>
      <c r="BT21" s="87">
        <f t="shared" si="30"/>
        <v>0</v>
      </c>
      <c r="BU21" s="87">
        <f t="shared" si="30"/>
        <v>0</v>
      </c>
      <c r="BV21" s="87">
        <f t="shared" si="30"/>
        <v>0</v>
      </c>
      <c r="BW21" s="92">
        <f t="shared" si="30"/>
        <v>0</v>
      </c>
      <c r="BY21" s="92">
        <f t="shared" si="31"/>
        <v>0</v>
      </c>
      <c r="CA21" s="89">
        <f>'[1]FC2+10'!AA20</f>
        <v>0</v>
      </c>
      <c r="CC21" s="92">
        <f t="shared" si="32"/>
        <v>0</v>
      </c>
      <c r="CE21" s="84"/>
      <c r="CF21" s="84"/>
      <c r="CG21" s="84"/>
      <c r="CH21" s="95"/>
      <c r="CI21" s="87">
        <f t="shared" si="43"/>
        <v>0</v>
      </c>
      <c r="CJ21" s="87">
        <f t="shared" si="43"/>
        <v>0</v>
      </c>
      <c r="CK21" s="87">
        <f t="shared" si="43"/>
        <v>0</v>
      </c>
      <c r="CL21" s="95">
        <f t="shared" si="43"/>
        <v>0</v>
      </c>
      <c r="CM21" s="47"/>
      <c r="CN21" s="47">
        <f t="shared" si="35"/>
        <v>0</v>
      </c>
    </row>
    <row r="22" spans="2:92" ht="14.25" customHeight="1" outlineLevel="2">
      <c r="B22" s="105"/>
      <c r="C22" s="98" t="s">
        <v>88</v>
      </c>
      <c r="D22" s="98"/>
      <c r="E22" s="98"/>
      <c r="F22" s="106">
        <f>IF([1]Act!S$3=1,[1]Act!S21,"")</f>
        <v>-134.4247786</v>
      </c>
      <c r="G22" s="106">
        <f>IF([1]Act!T$3=1,[1]Act!T21,"")</f>
        <v>-142.7528836999999</v>
      </c>
      <c r="H22" s="106" t="str">
        <f>IF([1]Act!U$3=1,[1]Act!U21,"")</f>
        <v/>
      </c>
      <c r="I22" s="107">
        <f>SUM(F22:H22)</f>
        <v>-277.17766229999989</v>
      </c>
      <c r="K22" s="71">
        <f>IF([1]BP!S$3=1,[1]BP!S21,"")</f>
        <v>-156.66709878021899</v>
      </c>
      <c r="L22" s="71">
        <f>IF([1]BP!T$3=1,[1]BP!T21,"")</f>
        <v>-162.04739701812673</v>
      </c>
      <c r="M22" s="71" t="str">
        <f>IF([1]BP!U$3=1,[1]BP!U21,"")</f>
        <v/>
      </c>
      <c r="N22" s="70">
        <f>SUM(K22:M22)</f>
        <v>-318.71449579834575</v>
      </c>
      <c r="O22" s="108">
        <f t="shared" si="36"/>
        <v>22.242320180218996</v>
      </c>
      <c r="P22" s="108">
        <f t="shared" si="36"/>
        <v>19.294513318126832</v>
      </c>
      <c r="Q22" s="108">
        <f t="shared" si="36"/>
        <v>0</v>
      </c>
      <c r="R22" s="109">
        <f t="shared" si="37"/>
        <v>41.536833498345857</v>
      </c>
      <c r="S22" s="73"/>
      <c r="T22" s="71">
        <f>IF('[1]FC2+10'!S$3=1,'[1]FC2+10'!S21,"")</f>
        <v>-138.18967518036217</v>
      </c>
      <c r="U22" s="71">
        <f>IF('[1]FC2+10'!T$3=1,'[1]FC2+10'!T21,"")</f>
        <v>-167.86348977568605</v>
      </c>
      <c r="V22" s="71" t="str">
        <f>IF('[1]FC2+10'!U$3=1,'[1]FC2+10'!U21,"")</f>
        <v/>
      </c>
      <c r="W22" s="74">
        <f>SUM(T22:V22)</f>
        <v>-306.05316495604825</v>
      </c>
      <c r="X22" s="108">
        <f t="shared" si="38"/>
        <v>3.7648965803621763</v>
      </c>
      <c r="Y22" s="108">
        <f t="shared" si="38"/>
        <v>25.11060607568615</v>
      </c>
      <c r="Z22" s="108">
        <f t="shared" si="38"/>
        <v>0</v>
      </c>
      <c r="AA22" s="75">
        <f t="shared" si="39"/>
        <v>28.875502656048354</v>
      </c>
      <c r="AB22" s="73"/>
      <c r="AC22" s="71">
        <f>IF([1]OL!S$3=1,[1]OL!S21,"")</f>
        <v>-134.4247786</v>
      </c>
      <c r="AD22" s="71">
        <f>IF([1]OL!T$3=1,[1]OL!T21,"")</f>
        <v>-142.08356370906142</v>
      </c>
      <c r="AE22" s="71" t="str">
        <f>IF([1]OL!U$3=1,[1]OL!U21,"")</f>
        <v/>
      </c>
      <c r="AF22" s="76">
        <f>SUM(AC22:AE22)</f>
        <v>-276.50834230906139</v>
      </c>
      <c r="AG22" s="108">
        <f t="shared" si="40"/>
        <v>0</v>
      </c>
      <c r="AH22" s="108">
        <f t="shared" si="40"/>
        <v>-0.66931999093847594</v>
      </c>
      <c r="AI22" s="108">
        <f t="shared" si="40"/>
        <v>0</v>
      </c>
      <c r="AJ22" s="77">
        <f t="shared" si="40"/>
        <v>-0.66931999093850436</v>
      </c>
      <c r="AK22" s="73"/>
      <c r="AL22" s="71">
        <f>IF([1]LY!S$3=1,[1]LY!S21,"")</f>
        <v>-143.78218410000002</v>
      </c>
      <c r="AM22" s="71">
        <f>IF([1]LY!T$3=1,[1]LY!T21,"")</f>
        <v>-163.45916939999987</v>
      </c>
      <c r="AN22" s="71" t="str">
        <f>IF([1]LY!U$3=1,[1]LY!U21,"")</f>
        <v/>
      </c>
      <c r="AO22" s="78">
        <f>SUM(AL22:AN22)</f>
        <v>-307.24135349999989</v>
      </c>
      <c r="AP22" s="108">
        <f t="shared" si="41"/>
        <v>9.3574055000000271</v>
      </c>
      <c r="AQ22" s="108">
        <f t="shared" si="41"/>
        <v>20.706285699999967</v>
      </c>
      <c r="AR22" s="108">
        <f t="shared" si="41"/>
        <v>0</v>
      </c>
      <c r="AS22" s="79">
        <f t="shared" si="41"/>
        <v>30.063691199999994</v>
      </c>
      <c r="AU22" s="71">
        <f>[1]Act!L21</f>
        <v>-142.95642530000001</v>
      </c>
      <c r="AV22" s="110" t="e">
        <f t="shared" si="20"/>
        <v>#VALUE!</v>
      </c>
      <c r="AW22" s="73"/>
      <c r="AX22" s="71">
        <f>IF('[1]FC5+7'!S$3=1,'[1]FC5+7'!S21,"")</f>
        <v>-135.92402764255607</v>
      </c>
      <c r="AY22" s="71">
        <f>IF('[1]FC5+7'!T$3=1,'[1]FC5+7'!T21,"")</f>
        <v>-162.43910706469819</v>
      </c>
      <c r="AZ22" s="71" t="str">
        <f>IF('[1]FC5+7'!U$3=1,'[1]FC5+7'!U21,"")</f>
        <v/>
      </c>
      <c r="BA22" s="74">
        <f>SUM(AX22:AZ22)</f>
        <v>-298.36313470725429</v>
      </c>
      <c r="BB22" s="108">
        <f t="shared" si="42"/>
        <v>1.4992490425560732</v>
      </c>
      <c r="BC22" s="108">
        <f t="shared" si="42"/>
        <v>19.686223364698293</v>
      </c>
      <c r="BD22" s="108">
        <f t="shared" si="42"/>
        <v>0</v>
      </c>
      <c r="BE22" s="75">
        <f t="shared" si="42"/>
        <v>21.185472407254395</v>
      </c>
      <c r="BG22" s="71">
        <f t="shared" si="23"/>
        <v>-134.4247786</v>
      </c>
      <c r="BH22" s="71">
        <v>-95.106208366113506</v>
      </c>
      <c r="BI22" s="71">
        <v>-169.78057480022082</v>
      </c>
      <c r="BJ22" s="76">
        <f>SUM(BG22:BI22)</f>
        <v>-399.31156176633431</v>
      </c>
      <c r="BK22" s="108">
        <f t="shared" si="25"/>
        <v>0</v>
      </c>
      <c r="BL22" s="108">
        <f t="shared" si="25"/>
        <v>-0.66931999093847594</v>
      </c>
      <c r="BM22" s="108">
        <f t="shared" si="26"/>
        <v>0</v>
      </c>
      <c r="BN22" s="77">
        <f t="shared" si="27"/>
        <v>122.13389946633441</v>
      </c>
      <c r="BP22" s="71">
        <f t="shared" si="28"/>
        <v>-134.4247786</v>
      </c>
      <c r="BQ22" s="71">
        <f t="shared" si="28"/>
        <v>-142.7528836999999</v>
      </c>
      <c r="BR22" s="71" t="e">
        <f>#REF!</f>
        <v>#REF!</v>
      </c>
      <c r="BS22" s="76" t="e">
        <f>SUM(BP22:BR22)</f>
        <v>#REF!</v>
      </c>
      <c r="BT22" s="108">
        <f t="shared" si="30"/>
        <v>0</v>
      </c>
      <c r="BU22" s="108">
        <f t="shared" si="30"/>
        <v>-0.66931999093847594</v>
      </c>
      <c r="BV22" s="108" t="e">
        <f t="shared" si="30"/>
        <v>#REF!</v>
      </c>
      <c r="BW22" s="77" t="e">
        <f t="shared" si="30"/>
        <v>#REF!</v>
      </c>
      <c r="BY22" s="77" t="e">
        <f t="shared" si="31"/>
        <v>#VALUE!</v>
      </c>
      <c r="CA22" s="74">
        <f>'[1]FC2+10'!AA21</f>
        <v>-372.76107930345961</v>
      </c>
      <c r="CC22" s="77">
        <f t="shared" si="32"/>
        <v>-95.583417003459715</v>
      </c>
      <c r="CE22" s="71">
        <f>IF('[1]FC7+5'!S$3=1,'[1]FC7+5'!S21,"")</f>
        <v>-135.8888889597298</v>
      </c>
      <c r="CF22" s="71">
        <f>IF('[1]FC7+5'!T$3=1,'[1]FC7+5'!T21,"")</f>
        <v>-142.92732328860322</v>
      </c>
      <c r="CG22" s="71" t="str">
        <f>IF('[1]FC7+5'!U$3=1,'[1]FC7+5'!U21,"")</f>
        <v/>
      </c>
      <c r="CH22" s="80">
        <f>SUM(CE22:CG22)</f>
        <v>-278.81621224833304</v>
      </c>
      <c r="CI22" s="108">
        <f t="shared" si="43"/>
        <v>1.4641103597298013</v>
      </c>
      <c r="CJ22" s="108">
        <f t="shared" si="43"/>
        <v>0.17443958860332032</v>
      </c>
      <c r="CK22" s="108">
        <f t="shared" si="43"/>
        <v>0</v>
      </c>
      <c r="CL22" s="80">
        <f t="shared" si="43"/>
        <v>1.63854994833315</v>
      </c>
      <c r="CM22" s="47">
        <f>IF('[1]FC7+5'!AC$3=1,'[1]FC7+5'!AC21,"")</f>
        <v>-481.20338392226734</v>
      </c>
      <c r="CN22" s="47">
        <f t="shared" si="35"/>
        <v>204.02572162226744</v>
      </c>
    </row>
    <row r="23" spans="2:92" outlineLevel="2">
      <c r="B23" s="111" t="s">
        <v>89</v>
      </c>
      <c r="C23" s="111"/>
      <c r="D23" s="8"/>
      <c r="E23" s="112"/>
      <c r="F23" s="113">
        <f>SUM(F19,F22)</f>
        <v>733.01020378986721</v>
      </c>
      <c r="G23" s="113">
        <f>SUM(G19,G22)</f>
        <v>762.6746803258286</v>
      </c>
      <c r="H23" s="113">
        <f>SUM(H19,H22)</f>
        <v>0</v>
      </c>
      <c r="I23" s="114">
        <f>SUM(F23:H23)</f>
        <v>1495.6848841156957</v>
      </c>
      <c r="K23" s="115">
        <f>SUM(K19,K22)</f>
        <v>1004.9902748337663</v>
      </c>
      <c r="L23" s="115">
        <f>SUM(L19,L22)</f>
        <v>1060.4155502702863</v>
      </c>
      <c r="M23" s="115">
        <f>SUM(M19,M22)</f>
        <v>0</v>
      </c>
      <c r="N23" s="116">
        <f>SUM(K23:M23)</f>
        <v>2065.4058251040524</v>
      </c>
      <c r="O23" s="115">
        <f t="shared" si="36"/>
        <v>-271.9800710438991</v>
      </c>
      <c r="P23" s="115">
        <f t="shared" si="36"/>
        <v>-297.7408699444577</v>
      </c>
      <c r="Q23" s="115">
        <f t="shared" si="36"/>
        <v>0</v>
      </c>
      <c r="R23" s="117">
        <f t="shared" si="37"/>
        <v>-569.72094098835669</v>
      </c>
      <c r="S23" s="73"/>
      <c r="T23" s="115">
        <f>SUM(T19,T22)</f>
        <v>906.44266508801479</v>
      </c>
      <c r="U23" s="115">
        <f>SUM(U19,U22)</f>
        <v>1059.8571618494323</v>
      </c>
      <c r="V23" s="115">
        <f>SUM(V19,V22)</f>
        <v>0</v>
      </c>
      <c r="W23" s="118">
        <f>SUM(T23:V23)</f>
        <v>1966.2998269374471</v>
      </c>
      <c r="X23" s="115">
        <f t="shared" si="38"/>
        <v>-173.43246129814759</v>
      </c>
      <c r="Y23" s="115">
        <f t="shared" si="38"/>
        <v>-297.18248152360366</v>
      </c>
      <c r="Z23" s="115">
        <f t="shared" si="38"/>
        <v>0</v>
      </c>
      <c r="AA23" s="119">
        <f t="shared" si="39"/>
        <v>-470.61494282175136</v>
      </c>
      <c r="AB23" s="73"/>
      <c r="AC23" s="115">
        <f>SUM(AC19,AC22)</f>
        <v>733.01020378986721</v>
      </c>
      <c r="AD23" s="115">
        <f>SUM(AD19,AD22)</f>
        <v>856.80205752127119</v>
      </c>
      <c r="AE23" s="115">
        <f>SUM(AE19,AE22)</f>
        <v>0</v>
      </c>
      <c r="AF23" s="120">
        <f>SUM(AC23:AE23)</f>
        <v>1589.8122613111384</v>
      </c>
      <c r="AG23" s="115">
        <f t="shared" si="40"/>
        <v>0</v>
      </c>
      <c r="AH23" s="115">
        <f t="shared" si="40"/>
        <v>-94.127377195442591</v>
      </c>
      <c r="AI23" s="115">
        <f t="shared" si="40"/>
        <v>0</v>
      </c>
      <c r="AJ23" s="121">
        <f t="shared" si="40"/>
        <v>-94.127377195442705</v>
      </c>
      <c r="AK23" s="73"/>
      <c r="AL23" s="115">
        <f>SUM(AL19,AL22)</f>
        <v>772.53206215114596</v>
      </c>
      <c r="AM23" s="115">
        <f>SUM(AM19,AM22)</f>
        <v>879.01396921279661</v>
      </c>
      <c r="AN23" s="115">
        <f>SUM(AN19,AN22)</f>
        <v>0</v>
      </c>
      <c r="AO23" s="122">
        <f>SUM(AL23:AN23)</f>
        <v>1651.5460313639426</v>
      </c>
      <c r="AP23" s="115">
        <f t="shared" si="41"/>
        <v>-39.52185836127876</v>
      </c>
      <c r="AQ23" s="115">
        <f t="shared" si="41"/>
        <v>-116.33928888696801</v>
      </c>
      <c r="AR23" s="115">
        <f t="shared" si="41"/>
        <v>0</v>
      </c>
      <c r="AS23" s="123">
        <f t="shared" si="41"/>
        <v>-155.86114724824688</v>
      </c>
      <c r="AU23" s="115">
        <f>[1]Act!L22</f>
        <v>829.93053388759438</v>
      </c>
      <c r="AV23" s="119">
        <f t="shared" si="20"/>
        <v>-829.93053388759438</v>
      </c>
      <c r="AW23" s="73"/>
      <c r="AX23" s="115">
        <f>SUM(AX19,AX22)</f>
        <v>836.10608615203489</v>
      </c>
      <c r="AY23" s="115">
        <f>SUM(AY19,AY22)</f>
        <v>969.0246916929882</v>
      </c>
      <c r="AZ23" s="115">
        <f>SUM(AZ19,AZ22)</f>
        <v>0</v>
      </c>
      <c r="BA23" s="118">
        <f>SUM(AX23:AZ23)</f>
        <v>1805.1307778450232</v>
      </c>
      <c r="BB23" s="115">
        <f t="shared" si="42"/>
        <v>-103.09588236216769</v>
      </c>
      <c r="BC23" s="115">
        <f t="shared" si="42"/>
        <v>-206.3500113671596</v>
      </c>
      <c r="BD23" s="115">
        <f t="shared" si="42"/>
        <v>0</v>
      </c>
      <c r="BE23" s="119">
        <f t="shared" si="42"/>
        <v>-309.44589372932751</v>
      </c>
      <c r="BG23" s="115">
        <f t="shared" si="23"/>
        <v>733.01020378986721</v>
      </c>
      <c r="BH23" s="115">
        <v>615.03821204691747</v>
      </c>
      <c r="BI23" s="115">
        <v>927.71175197909452</v>
      </c>
      <c r="BJ23" s="120">
        <f>SUM(BG23:BI23)</f>
        <v>2275.760167815879</v>
      </c>
      <c r="BK23" s="115">
        <f t="shared" si="25"/>
        <v>0</v>
      </c>
      <c r="BL23" s="115">
        <f t="shared" si="25"/>
        <v>-94.127377195442591</v>
      </c>
      <c r="BM23" s="115">
        <f t="shared" si="26"/>
        <v>772.53206215114596</v>
      </c>
      <c r="BN23" s="121">
        <f t="shared" si="27"/>
        <v>-780.07528370018326</v>
      </c>
      <c r="BP23" s="115">
        <f t="shared" si="28"/>
        <v>733.01020378986721</v>
      </c>
      <c r="BQ23" s="115">
        <f t="shared" si="28"/>
        <v>762.6746803258286</v>
      </c>
      <c r="BR23" s="115" t="e">
        <f>#REF!</f>
        <v>#REF!</v>
      </c>
      <c r="BS23" s="120" t="e">
        <f>SUM(BP23:BR23)</f>
        <v>#REF!</v>
      </c>
      <c r="BT23" s="115">
        <f t="shared" si="30"/>
        <v>0</v>
      </c>
      <c r="BU23" s="115">
        <f t="shared" si="30"/>
        <v>-94.127377195442591</v>
      </c>
      <c r="BV23" s="115" t="e">
        <f t="shared" si="30"/>
        <v>#REF!</v>
      </c>
      <c r="BW23" s="121" t="e">
        <f t="shared" si="30"/>
        <v>#REF!</v>
      </c>
      <c r="BY23" s="121" t="e">
        <f t="shared" si="31"/>
        <v>#REF!</v>
      </c>
      <c r="CA23" s="118">
        <f>'[1]FC2+10'!AA22</f>
        <v>2281.925070013835</v>
      </c>
      <c r="CC23" s="121">
        <f t="shared" si="32"/>
        <v>786.24018589813932</v>
      </c>
      <c r="CE23" s="115">
        <f>SUM(CE19,CE22)</f>
        <v>775.32064342470517</v>
      </c>
      <c r="CF23" s="115">
        <f>SUM(CF19,CF22)</f>
        <v>868.01639333517937</v>
      </c>
      <c r="CG23" s="115">
        <f>SUM(CG19,CG22)</f>
        <v>0</v>
      </c>
      <c r="CH23" s="124">
        <f>SUM(CE23:CG23)</f>
        <v>1643.3370367598845</v>
      </c>
      <c r="CI23" s="115">
        <f t="shared" si="43"/>
        <v>-42.310439634837962</v>
      </c>
      <c r="CJ23" s="115">
        <f t="shared" si="43"/>
        <v>-105.34171300935077</v>
      </c>
      <c r="CK23" s="115">
        <f t="shared" si="43"/>
        <v>0</v>
      </c>
      <c r="CL23" s="124">
        <f t="shared" si="43"/>
        <v>-147.65215264418885</v>
      </c>
      <c r="CM23" s="47">
        <f>SUM(CM19,CM22)</f>
        <v>2832.473746161741</v>
      </c>
      <c r="CN23" s="47">
        <f t="shared" si="35"/>
        <v>-1336.7888620460453</v>
      </c>
    </row>
    <row r="24" spans="2:92" outlineLevel="2">
      <c r="B24" s="65"/>
      <c r="C24" s="65"/>
      <c r="D24" s="125" t="s">
        <v>34</v>
      </c>
      <c r="E24" s="126"/>
      <c r="F24" s="67"/>
      <c r="G24" s="67"/>
      <c r="H24" s="67"/>
      <c r="I24" s="69"/>
      <c r="K24" s="68"/>
      <c r="L24" s="68"/>
      <c r="M24" s="68"/>
      <c r="N24" s="70"/>
      <c r="O24" s="71">
        <f t="shared" si="36"/>
        <v>0</v>
      </c>
      <c r="P24" s="71">
        <f t="shared" si="36"/>
        <v>0</v>
      </c>
      <c r="Q24" s="71">
        <f t="shared" si="36"/>
        <v>0</v>
      </c>
      <c r="R24" s="72">
        <f t="shared" si="37"/>
        <v>0</v>
      </c>
      <c r="S24" s="73"/>
      <c r="T24" s="68"/>
      <c r="U24" s="68"/>
      <c r="V24" s="68"/>
      <c r="W24" s="74"/>
      <c r="X24" s="71">
        <f t="shared" si="38"/>
        <v>0</v>
      </c>
      <c r="Y24" s="71">
        <f t="shared" si="38"/>
        <v>0</v>
      </c>
      <c r="Z24" s="71">
        <f t="shared" si="38"/>
        <v>0</v>
      </c>
      <c r="AA24" s="75">
        <f t="shared" si="39"/>
        <v>0</v>
      </c>
      <c r="AB24" s="73"/>
      <c r="AC24" s="68"/>
      <c r="AD24" s="68"/>
      <c r="AE24" s="68">
        <v>0</v>
      </c>
      <c r="AF24" s="76"/>
      <c r="AG24" s="71">
        <f t="shared" si="40"/>
        <v>0</v>
      </c>
      <c r="AH24" s="71">
        <f t="shared" si="40"/>
        <v>0</v>
      </c>
      <c r="AI24" s="71">
        <f t="shared" si="40"/>
        <v>0</v>
      </c>
      <c r="AJ24" s="77">
        <f t="shared" si="40"/>
        <v>0</v>
      </c>
      <c r="AK24" s="73"/>
      <c r="AL24" s="68"/>
      <c r="AM24" s="68"/>
      <c r="AN24" s="68"/>
      <c r="AO24" s="78"/>
      <c r="AP24" s="71">
        <f t="shared" si="41"/>
        <v>0</v>
      </c>
      <c r="AQ24" s="71">
        <f t="shared" si="41"/>
        <v>0</v>
      </c>
      <c r="AR24" s="71">
        <f t="shared" si="41"/>
        <v>0</v>
      </c>
      <c r="AS24" s="79">
        <f t="shared" si="41"/>
        <v>0</v>
      </c>
      <c r="AU24" s="68">
        <f>[1]Act!L23</f>
        <v>0</v>
      </c>
      <c r="AV24" s="75">
        <f t="shared" si="20"/>
        <v>0</v>
      </c>
      <c r="AW24" s="73"/>
      <c r="AX24" s="68"/>
      <c r="AY24" s="68"/>
      <c r="AZ24" s="68"/>
      <c r="BA24" s="74"/>
      <c r="BB24" s="71"/>
      <c r="BC24" s="71"/>
      <c r="BD24" s="71"/>
      <c r="BE24" s="75"/>
      <c r="BG24" s="68"/>
      <c r="BH24" s="68"/>
      <c r="BI24" s="68"/>
      <c r="BJ24" s="76"/>
      <c r="BK24" s="71"/>
      <c r="BL24" s="71"/>
      <c r="BM24" s="71"/>
      <c r="BN24" s="77">
        <f t="shared" si="27"/>
        <v>0</v>
      </c>
      <c r="BP24" s="68"/>
      <c r="BQ24" s="68"/>
      <c r="BR24" s="68"/>
      <c r="BS24" s="76"/>
      <c r="BT24" s="71">
        <f t="shared" si="30"/>
        <v>0</v>
      </c>
      <c r="BU24" s="71">
        <f t="shared" si="30"/>
        <v>0</v>
      </c>
      <c r="BV24" s="71">
        <f t="shared" si="30"/>
        <v>0</v>
      </c>
      <c r="BW24" s="77">
        <f t="shared" si="30"/>
        <v>0</v>
      </c>
      <c r="BY24" s="77">
        <f t="shared" si="31"/>
        <v>0</v>
      </c>
      <c r="CA24" s="74">
        <f>'[1]FC2+10'!AA23</f>
        <v>0</v>
      </c>
      <c r="CC24" s="77">
        <f t="shared" si="32"/>
        <v>0</v>
      </c>
      <c r="CE24" s="68"/>
      <c r="CF24" s="68"/>
      <c r="CG24" s="68"/>
      <c r="CH24" s="80"/>
      <c r="CI24" s="71"/>
      <c r="CJ24" s="71"/>
      <c r="CK24" s="71"/>
      <c r="CL24" s="80"/>
      <c r="CM24" s="80"/>
      <c r="CN24" s="80">
        <f t="shared" si="35"/>
        <v>0</v>
      </c>
    </row>
    <row r="25" spans="2:92" outlineLevel="2">
      <c r="B25" s="81"/>
      <c r="C25" s="103"/>
      <c r="D25" s="127" t="s">
        <v>90</v>
      </c>
      <c r="E25" s="128"/>
      <c r="F25" s="129"/>
      <c r="G25" s="129"/>
      <c r="H25" s="129"/>
      <c r="I25" s="130"/>
      <c r="K25" s="131"/>
      <c r="L25" s="131"/>
      <c r="M25" s="131"/>
      <c r="N25" s="132"/>
      <c r="O25" s="133">
        <f t="shared" si="36"/>
        <v>0</v>
      </c>
      <c r="P25" s="133">
        <f t="shared" si="36"/>
        <v>0</v>
      </c>
      <c r="Q25" s="133">
        <f t="shared" si="36"/>
        <v>0</v>
      </c>
      <c r="R25" s="134">
        <f t="shared" si="37"/>
        <v>0</v>
      </c>
      <c r="S25" s="73"/>
      <c r="T25" s="131"/>
      <c r="U25" s="131"/>
      <c r="V25" s="131"/>
      <c r="W25" s="135"/>
      <c r="X25" s="133">
        <f t="shared" si="38"/>
        <v>0</v>
      </c>
      <c r="Y25" s="133">
        <f t="shared" si="38"/>
        <v>0</v>
      </c>
      <c r="Z25" s="133">
        <f t="shared" si="38"/>
        <v>0</v>
      </c>
      <c r="AA25" s="136">
        <f t="shared" si="39"/>
        <v>0</v>
      </c>
      <c r="AB25" s="73"/>
      <c r="AC25" s="131"/>
      <c r="AD25" s="131"/>
      <c r="AE25" s="131">
        <v>0</v>
      </c>
      <c r="AF25" s="137"/>
      <c r="AG25" s="133">
        <f t="shared" si="40"/>
        <v>0</v>
      </c>
      <c r="AH25" s="133">
        <f t="shared" si="40"/>
        <v>0</v>
      </c>
      <c r="AI25" s="133">
        <f t="shared" si="40"/>
        <v>0</v>
      </c>
      <c r="AJ25" s="138">
        <f t="shared" si="40"/>
        <v>0</v>
      </c>
      <c r="AK25" s="73"/>
      <c r="AL25" s="131"/>
      <c r="AM25" s="131"/>
      <c r="AN25" s="131"/>
      <c r="AO25" s="139"/>
      <c r="AP25" s="133">
        <f t="shared" si="41"/>
        <v>0</v>
      </c>
      <c r="AQ25" s="133">
        <f t="shared" si="41"/>
        <v>0</v>
      </c>
      <c r="AR25" s="133">
        <f t="shared" si="41"/>
        <v>0</v>
      </c>
      <c r="AS25" s="140">
        <f t="shared" si="41"/>
        <v>0</v>
      </c>
      <c r="AU25" s="131">
        <f>[1]Act!L24</f>
        <v>0</v>
      </c>
      <c r="AV25" s="136">
        <f t="shared" si="20"/>
        <v>0</v>
      </c>
      <c r="AW25" s="73"/>
      <c r="AX25" s="131"/>
      <c r="AY25" s="131"/>
      <c r="AZ25" s="131"/>
      <c r="BA25" s="135"/>
      <c r="BB25" s="133"/>
      <c r="BC25" s="133"/>
      <c r="BD25" s="133"/>
      <c r="BE25" s="136"/>
      <c r="BG25" s="131"/>
      <c r="BH25" s="131"/>
      <c r="BI25" s="131"/>
      <c r="BJ25" s="137"/>
      <c r="BK25" s="133"/>
      <c r="BL25" s="133"/>
      <c r="BM25" s="133"/>
      <c r="BN25" s="138">
        <f t="shared" si="27"/>
        <v>0</v>
      </c>
      <c r="BP25" s="131"/>
      <c r="BQ25" s="131"/>
      <c r="BR25" s="131"/>
      <c r="BS25" s="137"/>
      <c r="BT25" s="133">
        <f t="shared" si="30"/>
        <v>0</v>
      </c>
      <c r="BU25" s="133">
        <f t="shared" si="30"/>
        <v>0</v>
      </c>
      <c r="BV25" s="133">
        <f t="shared" si="30"/>
        <v>0</v>
      </c>
      <c r="BW25" s="138">
        <f t="shared" si="30"/>
        <v>0</v>
      </c>
      <c r="BY25" s="138">
        <f t="shared" si="31"/>
        <v>0</v>
      </c>
      <c r="CA25" s="135">
        <f>'[1]FC2+10'!AA24</f>
        <v>0</v>
      </c>
      <c r="CC25" s="138">
        <f t="shared" si="32"/>
        <v>0</v>
      </c>
      <c r="CE25" s="131"/>
      <c r="CF25" s="131"/>
      <c r="CG25" s="131"/>
      <c r="CH25" s="141"/>
      <c r="CI25" s="133"/>
      <c r="CJ25" s="133"/>
      <c r="CK25" s="133"/>
      <c r="CL25" s="141"/>
      <c r="CM25" s="141"/>
      <c r="CN25" s="141">
        <f t="shared" si="35"/>
        <v>0</v>
      </c>
    </row>
    <row r="26" spans="2:92" outlineLevel="2">
      <c r="B26" s="81"/>
      <c r="C26" s="98" t="s">
        <v>91</v>
      </c>
      <c r="D26" s="66"/>
      <c r="E26" s="82"/>
      <c r="F26" s="142">
        <f>IF([1]Act!S$3=1,[1]Act!S25,"")</f>
        <v>-588.72719208662261</v>
      </c>
      <c r="G26" s="142">
        <f>IF([1]Act!T$3=1,[1]Act!T25,"")</f>
        <v>-600.45761468169246</v>
      </c>
      <c r="H26" s="142" t="str">
        <f>IF([1]Act!U$3=1,[1]Act!U25,"")</f>
        <v/>
      </c>
      <c r="I26" s="85">
        <f t="shared" ref="I26:I47" si="44">SUM(F26:H26)</f>
        <v>-1189.184806768315</v>
      </c>
      <c r="K26" s="87">
        <f>IF([1]BP!S$3=1,[1]BP!S25,"")</f>
        <v>-825.35865608450729</v>
      </c>
      <c r="L26" s="87">
        <f>IF([1]BP!T$3=1,[1]BP!T25,"")</f>
        <v>-880.08810629266452</v>
      </c>
      <c r="M26" s="87" t="str">
        <f>IF([1]BP!U$3=1,[1]BP!U25,"")</f>
        <v/>
      </c>
      <c r="N26" s="86">
        <f t="shared" ref="N26:N47" si="45">SUM(K26:M26)</f>
        <v>-1705.4467623771718</v>
      </c>
      <c r="O26" s="87">
        <f t="shared" si="36"/>
        <v>236.63146399788468</v>
      </c>
      <c r="P26" s="87">
        <f t="shared" si="36"/>
        <v>279.63049161097206</v>
      </c>
      <c r="Q26" s="87">
        <f t="shared" si="36"/>
        <v>0</v>
      </c>
      <c r="R26" s="88">
        <f t="shared" si="37"/>
        <v>516.26195560885685</v>
      </c>
      <c r="S26" s="73"/>
      <c r="T26" s="87" t="e">
        <f>IF('[1]FC2+10'!S$3=1,'[1]FC2+10'!S25,"")</f>
        <v>#VALUE!</v>
      </c>
      <c r="U26" s="87" t="e">
        <f>IF('[1]FC2+10'!T$3=1,'[1]FC2+10'!T25,"")</f>
        <v>#VALUE!</v>
      </c>
      <c r="V26" s="87" t="str">
        <f>IF('[1]FC2+10'!U$3=1,'[1]FC2+10'!U25,"")</f>
        <v/>
      </c>
      <c r="W26" s="89" t="e">
        <f>SUM(T26:V26)</f>
        <v>#VALUE!</v>
      </c>
      <c r="X26" s="87">
        <f t="shared" si="38"/>
        <v>0</v>
      </c>
      <c r="Y26" s="87">
        <f t="shared" si="38"/>
        <v>0</v>
      </c>
      <c r="Z26" s="87">
        <f t="shared" si="38"/>
        <v>0</v>
      </c>
      <c r="AA26" s="90" t="e">
        <f t="shared" si="39"/>
        <v>#VALUE!</v>
      </c>
      <c r="AB26" s="73"/>
      <c r="AC26" s="87">
        <f>IF([1]OL!S$3=1,[1]OL!S25,"")</f>
        <v>-588.72719208662261</v>
      </c>
      <c r="AD26" s="87">
        <f>IF([1]OL!T$3=1,[1]OL!T25,"")</f>
        <v>-715.65292210596147</v>
      </c>
      <c r="AE26" s="87" t="str">
        <f>IF([1]OL!U$3=1,[1]OL!U25,"")</f>
        <v/>
      </c>
      <c r="AF26" s="91">
        <f>SUM(AC26:AE26)</f>
        <v>-1304.3801141925842</v>
      </c>
      <c r="AG26" s="87">
        <f t="shared" si="40"/>
        <v>0</v>
      </c>
      <c r="AH26" s="87">
        <f t="shared" si="40"/>
        <v>115.195307424269</v>
      </c>
      <c r="AI26" s="87">
        <f t="shared" si="40"/>
        <v>0</v>
      </c>
      <c r="AJ26" s="92">
        <f t="shared" si="40"/>
        <v>115.19530742426923</v>
      </c>
      <c r="AK26" s="73"/>
      <c r="AL26" s="87">
        <f>IF([1]LY!S$3=1,[1]LY!S25,"")</f>
        <v>-630.97209604436148</v>
      </c>
      <c r="AM26" s="87">
        <f>IF([1]LY!T$3=1,[1]LY!T25,"")</f>
        <v>-714.781088057641</v>
      </c>
      <c r="AN26" s="87" t="str">
        <f>IF([1]LY!U$3=1,[1]LY!U25,"")</f>
        <v/>
      </c>
      <c r="AO26" s="93">
        <f>SUM(AL26:AN26)</f>
        <v>-1345.7531841020025</v>
      </c>
      <c r="AP26" s="87">
        <f t="shared" si="41"/>
        <v>42.24490395773887</v>
      </c>
      <c r="AQ26" s="87">
        <f t="shared" si="41"/>
        <v>114.32347337594854</v>
      </c>
      <c r="AR26" s="87">
        <f t="shared" si="41"/>
        <v>0</v>
      </c>
      <c r="AS26" s="94">
        <f t="shared" si="41"/>
        <v>156.56837733368752</v>
      </c>
      <c r="AU26" s="87">
        <f>[1]Act!L25</f>
        <v>-693.35564568688017</v>
      </c>
      <c r="AV26" s="90" t="e">
        <f t="shared" si="20"/>
        <v>#VALUE!</v>
      </c>
      <c r="AW26" s="73"/>
      <c r="AX26" s="87">
        <f>IF('[1]FC5+7'!S$3=1,'[1]FC5+7'!S25,"")</f>
        <v>-676.99132868426511</v>
      </c>
      <c r="AY26" s="87">
        <f>IF('[1]FC5+7'!T$3=1,'[1]FC5+7'!T25,"")</f>
        <v>-814.01261605990703</v>
      </c>
      <c r="AZ26" s="87" t="str">
        <f>IF('[1]FC5+7'!U$3=1,'[1]FC5+7'!U25,"")</f>
        <v/>
      </c>
      <c r="BA26" s="89">
        <f>SUM(AX26:AZ26)</f>
        <v>-1491.0039447441723</v>
      </c>
      <c r="BB26" s="87">
        <f t="shared" si="42"/>
        <v>88.264136597642505</v>
      </c>
      <c r="BC26" s="87">
        <f t="shared" si="42"/>
        <v>213.55500137821457</v>
      </c>
      <c r="BD26" s="87">
        <f t="shared" si="42"/>
        <v>0</v>
      </c>
      <c r="BE26" s="90">
        <f t="shared" si="42"/>
        <v>301.8191379758573</v>
      </c>
      <c r="BG26" s="87">
        <f t="shared" si="23"/>
        <v>-588.72719208662261</v>
      </c>
      <c r="BH26" s="87">
        <v>-492.24093142164071</v>
      </c>
      <c r="BI26" s="87">
        <v>-857.40710412943815</v>
      </c>
      <c r="BJ26" s="91">
        <f>SUM(BG26:BI26)</f>
        <v>-1938.3752276377013</v>
      </c>
      <c r="BK26" s="87">
        <f t="shared" si="25"/>
        <v>0</v>
      </c>
      <c r="BL26" s="87">
        <f t="shared" si="25"/>
        <v>115.195307424269</v>
      </c>
      <c r="BM26" s="87">
        <f t="shared" si="26"/>
        <v>0</v>
      </c>
      <c r="BN26" s="92">
        <f t="shared" si="27"/>
        <v>749.19042086938634</v>
      </c>
      <c r="BP26" s="87">
        <f t="shared" si="28"/>
        <v>-588.72719208662261</v>
      </c>
      <c r="BQ26" s="87">
        <f t="shared" si="28"/>
        <v>-600.45761468169246</v>
      </c>
      <c r="BR26" s="87" t="e">
        <f>#REF!</f>
        <v>#REF!</v>
      </c>
      <c r="BS26" s="91" t="e">
        <f>SUM(BP26:BR26)</f>
        <v>#REF!</v>
      </c>
      <c r="BT26" s="87">
        <f t="shared" si="30"/>
        <v>0</v>
      </c>
      <c r="BU26" s="87">
        <f t="shared" si="30"/>
        <v>115.195307424269</v>
      </c>
      <c r="BV26" s="87" t="e">
        <f t="shared" si="30"/>
        <v>#REF!</v>
      </c>
      <c r="BW26" s="92" t="e">
        <f t="shared" si="30"/>
        <v>#REF!</v>
      </c>
      <c r="BY26" s="92" t="e">
        <f t="shared" si="31"/>
        <v>#VALUE!</v>
      </c>
      <c r="CA26" s="89" t="e">
        <f>'[1]FC2+10'!AA25</f>
        <v>#VALUE!</v>
      </c>
      <c r="CC26" s="92" t="e">
        <f t="shared" si="32"/>
        <v>#VALUE!</v>
      </c>
      <c r="CE26" s="87">
        <f>IF('[1]FC7+5'!S$3=1,'[1]FC7+5'!S25,"")</f>
        <v>-615.02367710229544</v>
      </c>
      <c r="CF26" s="87">
        <f>IF('[1]FC7+5'!T$3=1,'[1]FC7+5'!T25,"")</f>
        <v>-697.13003427259321</v>
      </c>
      <c r="CG26" s="87" t="str">
        <f>IF('[1]FC7+5'!U$3=1,'[1]FC7+5'!U25,"")</f>
        <v/>
      </c>
      <c r="CH26" s="95">
        <f>SUM(CE26:CG26)</f>
        <v>-1312.1537113748886</v>
      </c>
      <c r="CI26" s="87">
        <f t="shared" ref="CI26:CL39" si="46">IFERROR(F26-CE26,0)</f>
        <v>26.296485015672829</v>
      </c>
      <c r="CJ26" s="87">
        <f t="shared" si="46"/>
        <v>96.672419590900745</v>
      </c>
      <c r="CK26" s="87">
        <f t="shared" si="46"/>
        <v>0</v>
      </c>
      <c r="CL26" s="95">
        <f t="shared" si="46"/>
        <v>122.96890460657369</v>
      </c>
      <c r="CM26" s="47">
        <f>IF('[1]FC7+5'!AC$3=1,'[1]FC7+5'!AC25,"")</f>
        <v>-2272.6964318384817</v>
      </c>
      <c r="CN26" s="47">
        <f t="shared" si="35"/>
        <v>1083.5116250701667</v>
      </c>
    </row>
    <row r="27" spans="2:92" outlineLevel="2">
      <c r="B27" s="143" t="s">
        <v>92</v>
      </c>
      <c r="C27" s="143"/>
      <c r="D27" s="112"/>
      <c r="E27" s="112"/>
      <c r="F27" s="144">
        <f>SUM(F23,F26)</f>
        <v>144.2830117032446</v>
      </c>
      <c r="G27" s="144">
        <f>SUM(G23,G26)</f>
        <v>162.21706564413614</v>
      </c>
      <c r="H27" s="144">
        <f>SUM(H23,H26)</f>
        <v>0</v>
      </c>
      <c r="I27" s="114">
        <f t="shared" si="44"/>
        <v>306.50007734738074</v>
      </c>
      <c r="K27" s="145">
        <f>K23+K26</f>
        <v>179.63161874925902</v>
      </c>
      <c r="L27" s="145">
        <f>SUM(L23,L26)</f>
        <v>180.32744397762178</v>
      </c>
      <c r="M27" s="145">
        <f>SUM(M23,M26)</f>
        <v>0</v>
      </c>
      <c r="N27" s="146">
        <f t="shared" si="45"/>
        <v>359.9590627268808</v>
      </c>
      <c r="O27" s="147">
        <f t="shared" si="36"/>
        <v>-35.348607046014422</v>
      </c>
      <c r="P27" s="145">
        <f t="shared" si="36"/>
        <v>-18.110378333485642</v>
      </c>
      <c r="Q27" s="145">
        <f t="shared" si="36"/>
        <v>0</v>
      </c>
      <c r="R27" s="117">
        <f t="shared" si="37"/>
        <v>-53.458985379500064</v>
      </c>
      <c r="S27" s="148"/>
      <c r="T27" s="145" t="e">
        <f>T23+T26</f>
        <v>#VALUE!</v>
      </c>
      <c r="U27" s="145" t="e">
        <f>SUM(U23,U26)</f>
        <v>#VALUE!</v>
      </c>
      <c r="V27" s="145">
        <f>SUM(V23,V26)</f>
        <v>0</v>
      </c>
      <c r="W27" s="149" t="e">
        <f>SUM(T27:V27)</f>
        <v>#VALUE!</v>
      </c>
      <c r="X27" s="145">
        <f t="shared" si="38"/>
        <v>0</v>
      </c>
      <c r="Y27" s="145">
        <f t="shared" si="38"/>
        <v>0</v>
      </c>
      <c r="Z27" s="145">
        <f t="shared" si="38"/>
        <v>0</v>
      </c>
      <c r="AA27" s="150" t="e">
        <f t="shared" si="39"/>
        <v>#VALUE!</v>
      </c>
      <c r="AB27" s="148"/>
      <c r="AC27" s="145">
        <f>AC23+AC26</f>
        <v>144.2830117032446</v>
      </c>
      <c r="AD27" s="145">
        <f>SUM(AD23,AD26)</f>
        <v>141.14913541530973</v>
      </c>
      <c r="AE27" s="145">
        <f>SUM(AE23,AE26)</f>
        <v>0</v>
      </c>
      <c r="AF27" s="151">
        <f>SUM(AC27:AE27)</f>
        <v>285.43214711855433</v>
      </c>
      <c r="AG27" s="145">
        <f t="shared" si="40"/>
        <v>0</v>
      </c>
      <c r="AH27" s="145">
        <f t="shared" si="40"/>
        <v>21.067930228826413</v>
      </c>
      <c r="AI27" s="145">
        <f t="shared" si="40"/>
        <v>0</v>
      </c>
      <c r="AJ27" s="152">
        <f t="shared" si="40"/>
        <v>21.067930228826413</v>
      </c>
      <c r="AK27" s="148"/>
      <c r="AL27" s="153">
        <f>AL23+AL26</f>
        <v>141.55996610678449</v>
      </c>
      <c r="AM27" s="145">
        <f>SUM(AM23,AM26)</f>
        <v>164.23288115515561</v>
      </c>
      <c r="AN27" s="145">
        <f>SUM(AN23,AN26)</f>
        <v>0</v>
      </c>
      <c r="AO27" s="154">
        <f>SUM(AL27:AN27)</f>
        <v>305.7928472619401</v>
      </c>
      <c r="AP27" s="145">
        <f t="shared" si="41"/>
        <v>2.7230455964601106</v>
      </c>
      <c r="AQ27" s="145">
        <f t="shared" si="41"/>
        <v>-2.0158155110194684</v>
      </c>
      <c r="AR27" s="145">
        <f t="shared" si="41"/>
        <v>0</v>
      </c>
      <c r="AS27" s="155">
        <f t="shared" si="41"/>
        <v>0.70723008544064214</v>
      </c>
      <c r="AU27" s="145">
        <f>[1]Act!L26</f>
        <v>136.57488820071421</v>
      </c>
      <c r="AV27" s="156">
        <f t="shared" si="20"/>
        <v>-136.57488820071421</v>
      </c>
      <c r="AW27" s="148"/>
      <c r="AX27" s="145">
        <f>AX23+AX26</f>
        <v>159.11475746776978</v>
      </c>
      <c r="AY27" s="145">
        <f>SUM(AY23,AY26)</f>
        <v>155.01207563308117</v>
      </c>
      <c r="AZ27" s="145">
        <f>SUM(AZ23,AZ26)</f>
        <v>0</v>
      </c>
      <c r="BA27" s="149">
        <f>SUM(AX27:AZ27)</f>
        <v>314.12683310085094</v>
      </c>
      <c r="BB27" s="145">
        <f t="shared" si="42"/>
        <v>-14.831745764525181</v>
      </c>
      <c r="BC27" s="145">
        <f t="shared" si="42"/>
        <v>7.2049900110549743</v>
      </c>
      <c r="BD27" s="145">
        <f t="shared" si="42"/>
        <v>0</v>
      </c>
      <c r="BE27" s="150">
        <f t="shared" si="42"/>
        <v>-7.6267557534702064</v>
      </c>
      <c r="BG27" s="145">
        <f t="shared" si="23"/>
        <v>144.2830117032446</v>
      </c>
      <c r="BH27" s="145">
        <v>122.79728062527676</v>
      </c>
      <c r="BI27" s="145">
        <v>70.304647849656362</v>
      </c>
      <c r="BJ27" s="151">
        <f>SUM(BG27:BI27)</f>
        <v>337.38494017817771</v>
      </c>
      <c r="BK27" s="145">
        <f t="shared" si="25"/>
        <v>0</v>
      </c>
      <c r="BL27" s="145">
        <f t="shared" si="25"/>
        <v>21.067930228826413</v>
      </c>
      <c r="BM27" s="145">
        <f t="shared" si="26"/>
        <v>141.55996610678449</v>
      </c>
      <c r="BN27" s="152">
        <f t="shared" si="27"/>
        <v>-30.884862830796976</v>
      </c>
      <c r="BP27" s="145">
        <f t="shared" si="28"/>
        <v>144.2830117032446</v>
      </c>
      <c r="BQ27" s="145">
        <f t="shared" si="28"/>
        <v>162.21706564413614</v>
      </c>
      <c r="BR27" s="145" t="e">
        <f>#REF!</f>
        <v>#REF!</v>
      </c>
      <c r="BS27" s="151" t="e">
        <f>SUM(BP27:BR27)</f>
        <v>#REF!</v>
      </c>
      <c r="BT27" s="145">
        <f t="shared" si="30"/>
        <v>0</v>
      </c>
      <c r="BU27" s="145">
        <f t="shared" si="30"/>
        <v>21.067930228826413</v>
      </c>
      <c r="BV27" s="145" t="e">
        <f t="shared" si="30"/>
        <v>#REF!</v>
      </c>
      <c r="BW27" s="152" t="e">
        <f t="shared" si="30"/>
        <v>#REF!</v>
      </c>
      <c r="BY27" s="152" t="e">
        <f t="shared" si="31"/>
        <v>#REF!</v>
      </c>
      <c r="CA27" s="149" t="e">
        <f>'[1]FC2+10'!AA26</f>
        <v>#VALUE!</v>
      </c>
      <c r="CC27" s="152" t="e">
        <f t="shared" si="32"/>
        <v>#VALUE!</v>
      </c>
      <c r="CE27" s="145">
        <f>CE23+CE26</f>
        <v>160.29696632240973</v>
      </c>
      <c r="CF27" s="145">
        <f>SUM(CF23,CF26)</f>
        <v>170.88635906258617</v>
      </c>
      <c r="CG27" s="145">
        <f>SUM(CG23,CG26)</f>
        <v>0</v>
      </c>
      <c r="CH27" s="157">
        <f>SUM(CE27:CG27)</f>
        <v>331.1833253849959</v>
      </c>
      <c r="CI27" s="145">
        <f t="shared" si="46"/>
        <v>-16.013954619165133</v>
      </c>
      <c r="CJ27" s="145">
        <f t="shared" si="46"/>
        <v>-8.6692934184500245</v>
      </c>
      <c r="CK27" s="145">
        <f t="shared" si="46"/>
        <v>0</v>
      </c>
      <c r="CL27" s="158">
        <f t="shared" si="46"/>
        <v>-24.683248037615158</v>
      </c>
      <c r="CM27" s="47">
        <f>CM23+CM26</f>
        <v>559.77731432325936</v>
      </c>
      <c r="CN27" s="47">
        <f t="shared" si="35"/>
        <v>-253.27723697587862</v>
      </c>
    </row>
    <row r="28" spans="2:92" outlineLevel="2">
      <c r="B28" s="159"/>
      <c r="C28" s="160" t="s">
        <v>35</v>
      </c>
      <c r="D28" s="161"/>
      <c r="E28" s="161"/>
      <c r="F28" s="162">
        <f>F27/F19</f>
        <v>0.1663329409493389</v>
      </c>
      <c r="G28" s="162">
        <f>G27/G19</f>
        <v>0.17916073255254761</v>
      </c>
      <c r="H28" s="162" t="e">
        <f>H27/H19</f>
        <v>#VALUE!</v>
      </c>
      <c r="I28" s="163">
        <f>I27/I19</f>
        <v>0.17288428703457615</v>
      </c>
      <c r="J28" s="164"/>
      <c r="K28" s="165">
        <f>K27/K19</f>
        <v>0.15463390740628999</v>
      </c>
      <c r="L28" s="165">
        <f>L27/L19</f>
        <v>0.14751158256175556</v>
      </c>
      <c r="M28" s="165" t="e">
        <f>M27/M19</f>
        <v>#VALUE!</v>
      </c>
      <c r="N28" s="166">
        <f>N27/N19</f>
        <v>0.15098191965019406</v>
      </c>
      <c r="O28" s="167">
        <f t="shared" si="36"/>
        <v>1.1699033543048909E-2</v>
      </c>
      <c r="P28" s="167">
        <f t="shared" si="36"/>
        <v>3.1649149990792047E-2</v>
      </c>
      <c r="Q28" s="167">
        <f t="shared" si="36"/>
        <v>0</v>
      </c>
      <c r="R28" s="168">
        <f t="shared" si="37"/>
        <v>2.1902367384382088E-2</v>
      </c>
      <c r="T28" s="165" t="e">
        <f>T27/T19</f>
        <v>#VALUE!</v>
      </c>
      <c r="U28" s="165" t="e">
        <f>U27/U19</f>
        <v>#VALUE!</v>
      </c>
      <c r="V28" s="165" t="e">
        <f>V27/V19</f>
        <v>#VALUE!</v>
      </c>
      <c r="W28" s="169" t="e">
        <f>W27/W19</f>
        <v>#VALUE!</v>
      </c>
      <c r="X28" s="167">
        <f t="shared" si="38"/>
        <v>0</v>
      </c>
      <c r="Y28" s="167">
        <f t="shared" si="38"/>
        <v>0</v>
      </c>
      <c r="Z28" s="167">
        <f t="shared" si="38"/>
        <v>0</v>
      </c>
      <c r="AA28" s="170" t="e">
        <f t="shared" si="39"/>
        <v>#VALUE!</v>
      </c>
      <c r="AC28" s="165">
        <f>AC27/AC19</f>
        <v>0.1663329409493389</v>
      </c>
      <c r="AD28" s="165">
        <f>AD27/AD19</f>
        <v>0.14130660449537316</v>
      </c>
      <c r="AE28" s="165" t="e">
        <f>AE27/AE19</f>
        <v>#VALUE!</v>
      </c>
      <c r="AF28" s="171">
        <f>AF27/AF19</f>
        <v>0.1529384322098179</v>
      </c>
      <c r="AG28" s="167">
        <f t="shared" si="40"/>
        <v>0</v>
      </c>
      <c r="AH28" s="167">
        <f t="shared" si="40"/>
        <v>3.7854128057174447E-2</v>
      </c>
      <c r="AI28" s="167">
        <f t="shared" si="40"/>
        <v>0</v>
      </c>
      <c r="AJ28" s="172">
        <f t="shared" si="40"/>
        <v>1.9945854824758247E-2</v>
      </c>
      <c r="AL28" s="165">
        <f>AL27/AL19</f>
        <v>0.15448844835266845</v>
      </c>
      <c r="AM28" s="165">
        <f>AM27/AM19</f>
        <v>0.15754159514718805</v>
      </c>
      <c r="AN28" s="165" t="e">
        <f>AN27/AN19</f>
        <v>#VALUE!</v>
      </c>
      <c r="AO28" s="173">
        <f>AO27/AO19</f>
        <v>0.1561133431963472</v>
      </c>
      <c r="AP28" s="167">
        <f t="shared" si="41"/>
        <v>1.1844492596670447E-2</v>
      </c>
      <c r="AQ28" s="167">
        <f t="shared" si="41"/>
        <v>2.1619137405359562E-2</v>
      </c>
      <c r="AR28" s="167">
        <f t="shared" si="41"/>
        <v>0</v>
      </c>
      <c r="AS28" s="174">
        <f t="shared" si="41"/>
        <v>1.6770943838228941E-2</v>
      </c>
      <c r="AU28" s="165">
        <f>[1]Act!L27</f>
        <v>0.14038104520874714</v>
      </c>
      <c r="AV28" s="175" t="e">
        <f t="shared" si="20"/>
        <v>#VALUE!</v>
      </c>
      <c r="AX28" s="165">
        <f>AX27/AX19</f>
        <v>0.16369323872757491</v>
      </c>
      <c r="AY28" s="165">
        <f>AY27/AY19</f>
        <v>0.13700135682933898</v>
      </c>
      <c r="AZ28" s="165" t="e">
        <f>AZ27/AZ19</f>
        <v>#VALUE!</v>
      </c>
      <c r="BA28" s="169">
        <f>BA27/BA19</f>
        <v>0.1493357462202991</v>
      </c>
      <c r="BB28" s="167">
        <f t="shared" si="42"/>
        <v>2.6397022217639898E-3</v>
      </c>
      <c r="BC28" s="167">
        <f t="shared" si="42"/>
        <v>4.2159375723208631E-2</v>
      </c>
      <c r="BD28" s="167">
        <f t="shared" si="42"/>
        <v>0</v>
      </c>
      <c r="BE28" s="170">
        <f t="shared" si="42"/>
        <v>2.3548540814277041E-2</v>
      </c>
      <c r="BG28" s="165">
        <f t="shared" si="23"/>
        <v>0.1663329409493389</v>
      </c>
      <c r="BH28" s="165">
        <v>0.17291874313939687</v>
      </c>
      <c r="BI28" s="165">
        <v>6.4059352520460286E-2</v>
      </c>
      <c r="BJ28" s="171">
        <f>BJ27/BJ19</f>
        <v>0.12612182935029922</v>
      </c>
      <c r="BK28" s="167">
        <f t="shared" si="25"/>
        <v>0</v>
      </c>
      <c r="BL28" s="167">
        <f t="shared" si="25"/>
        <v>3.7854128057174447E-2</v>
      </c>
      <c r="BM28" s="167">
        <f t="shared" si="26"/>
        <v>0</v>
      </c>
      <c r="BN28" s="172">
        <f t="shared" si="27"/>
        <v>4.676245768427692E-2</v>
      </c>
      <c r="BP28" s="165">
        <f t="shared" si="28"/>
        <v>0.1663329409493389</v>
      </c>
      <c r="BQ28" s="165">
        <f t="shared" si="28"/>
        <v>0.17916073255254761</v>
      </c>
      <c r="BR28" s="165" t="e">
        <f>#REF!</f>
        <v>#REF!</v>
      </c>
      <c r="BS28" s="171" t="e">
        <f>BS27/BS19</f>
        <v>#REF!</v>
      </c>
      <c r="BT28" s="167">
        <f t="shared" si="30"/>
        <v>0</v>
      </c>
      <c r="BU28" s="167">
        <f t="shared" si="30"/>
        <v>3.7854128057174447E-2</v>
      </c>
      <c r="BV28" s="167" t="e">
        <f t="shared" si="30"/>
        <v>#REF!</v>
      </c>
      <c r="BW28" s="172" t="e">
        <f t="shared" si="30"/>
        <v>#REF!</v>
      </c>
      <c r="BY28" s="172" t="e">
        <f t="shared" si="31"/>
        <v>#VALUE!</v>
      </c>
      <c r="CA28" s="169">
        <f>'[1]FC2+10'!AA27</f>
        <v>0</v>
      </c>
      <c r="CC28" s="172">
        <f t="shared" si="32"/>
        <v>-0.17288428703457615</v>
      </c>
      <c r="CE28" s="165">
        <f>CE27/CE19</f>
        <v>0.17591669163397339</v>
      </c>
      <c r="CF28" s="165">
        <f>CF27/CF19</f>
        <v>0.16903647181594841</v>
      </c>
      <c r="CG28" s="165" t="e">
        <f>CG27/CG19</f>
        <v>#VALUE!</v>
      </c>
      <c r="CH28" s="176">
        <f>CH27/CH19</f>
        <v>0.17229808578263886</v>
      </c>
      <c r="CI28" s="167">
        <f t="shared" si="46"/>
        <v>-9.58375068463449E-3</v>
      </c>
      <c r="CJ28" s="167">
        <f t="shared" si="46"/>
        <v>1.0124260736599194E-2</v>
      </c>
      <c r="CK28" s="167">
        <f t="shared" si="46"/>
        <v>0</v>
      </c>
      <c r="CL28" s="176">
        <f t="shared" si="46"/>
        <v>5.8620125193728501E-4</v>
      </c>
      <c r="CM28" s="177">
        <f>CM27/CM19</f>
        <v>0.16892934717181329</v>
      </c>
      <c r="CN28" s="177">
        <f t="shared" si="35"/>
        <v>3.9549398627628518E-3</v>
      </c>
    </row>
    <row r="29" spans="2:92" outlineLevel="2">
      <c r="B29" s="81"/>
      <c r="C29" s="81"/>
      <c r="D29" s="178" t="s">
        <v>36</v>
      </c>
      <c r="E29" s="82"/>
      <c r="F29" s="83">
        <f>IF([1]Act!S$3=1,[1]Act!S28,"")</f>
        <v>-26.612439853284165</v>
      </c>
      <c r="G29" s="83">
        <f>IF([1]Act!T$3=1,[1]Act!T28,"")</f>
        <v>-27.3513924137931</v>
      </c>
      <c r="H29" s="83" t="str">
        <f>IF([1]Act!U$3=1,[1]Act!U28,"")</f>
        <v/>
      </c>
      <c r="I29" s="85">
        <f t="shared" si="44"/>
        <v>-53.963832267077265</v>
      </c>
      <c r="K29" s="84">
        <f>IF([1]BP!S$3=1,[1]BP!S28,"")</f>
        <v>-30.45838521647638</v>
      </c>
      <c r="L29" s="84">
        <f>IF([1]BP!T$3=1,[1]BP!T28,"")</f>
        <v>-30.048862830515542</v>
      </c>
      <c r="M29" s="84" t="str">
        <f>IF([1]BP!U$3=1,[1]BP!U28,"")</f>
        <v/>
      </c>
      <c r="N29" s="86">
        <f t="shared" si="45"/>
        <v>-60.507248046991918</v>
      </c>
      <c r="O29" s="87">
        <f t="shared" si="36"/>
        <v>3.8459453631922145</v>
      </c>
      <c r="P29" s="87">
        <f t="shared" si="36"/>
        <v>2.6974704167224424</v>
      </c>
      <c r="Q29" s="87">
        <f t="shared" si="36"/>
        <v>0</v>
      </c>
      <c r="R29" s="88">
        <f t="shared" si="37"/>
        <v>6.5434157799146533</v>
      </c>
      <c r="S29" s="73"/>
      <c r="T29" s="84">
        <f>IF('[1]FC2+10'!S$3=1,'[1]FC2+10'!S28,"")</f>
        <v>-25.136963017400159</v>
      </c>
      <c r="U29" s="84">
        <f>IF('[1]FC2+10'!T$3=1,'[1]FC2+10'!T28,"")</f>
        <v>-25.445903540629683</v>
      </c>
      <c r="V29" s="84" t="str">
        <f>IF('[1]FC2+10'!U$3=1,'[1]FC2+10'!U28,"")</f>
        <v/>
      </c>
      <c r="W29" s="89">
        <f t="shared" ref="W29:W47" si="47">SUM(T29:V29)</f>
        <v>-50.582866558029842</v>
      </c>
      <c r="X29" s="87">
        <f t="shared" si="38"/>
        <v>-1.475476835884006</v>
      </c>
      <c r="Y29" s="87">
        <f t="shared" si="38"/>
        <v>-1.9054888731634172</v>
      </c>
      <c r="Z29" s="87">
        <f t="shared" si="38"/>
        <v>0</v>
      </c>
      <c r="AA29" s="90">
        <f t="shared" si="39"/>
        <v>-3.3809657090474232</v>
      </c>
      <c r="AB29" s="73"/>
      <c r="AC29" s="84">
        <f>IF([1]OL!S$3=1,[1]OL!S28,"")</f>
        <v>-26.612439853284165</v>
      </c>
      <c r="AD29" s="84">
        <f>IF([1]OL!T$3=1,[1]OL!T28,"")</f>
        <v>-27.002141398786573</v>
      </c>
      <c r="AE29" s="84" t="str">
        <f>IF([1]OL!U$3=1,[1]OL!U28,"")</f>
        <v/>
      </c>
      <c r="AF29" s="91">
        <f>SUM(AC29:AE29)</f>
        <v>-53.614581252070735</v>
      </c>
      <c r="AG29" s="87">
        <f t="shared" si="40"/>
        <v>0</v>
      </c>
      <c r="AH29" s="87">
        <f t="shared" si="40"/>
        <v>-0.34925101500652644</v>
      </c>
      <c r="AI29" s="87">
        <f t="shared" si="40"/>
        <v>0</v>
      </c>
      <c r="AJ29" s="92">
        <f t="shared" si="40"/>
        <v>-0.34925101500653</v>
      </c>
      <c r="AK29" s="73"/>
      <c r="AL29" s="84">
        <f>IF([1]LY!S$3=1,[1]LY!S28,"")</f>
        <v>-36.400534906533125</v>
      </c>
      <c r="AM29" s="84">
        <f>IF([1]LY!T$3=1,[1]LY!T28,"")</f>
        <v>-34.143011226748555</v>
      </c>
      <c r="AN29" s="84" t="str">
        <f>IF([1]LY!U$3=1,[1]LY!U28,"")</f>
        <v/>
      </c>
      <c r="AO29" s="93">
        <f>SUM(AL29:AN29)</f>
        <v>-70.54354613328168</v>
      </c>
      <c r="AP29" s="87">
        <f t="shared" si="41"/>
        <v>9.7880950532489592</v>
      </c>
      <c r="AQ29" s="87">
        <f t="shared" si="41"/>
        <v>6.7916188129554556</v>
      </c>
      <c r="AR29" s="87">
        <f t="shared" si="41"/>
        <v>0</v>
      </c>
      <c r="AS29" s="94">
        <f t="shared" si="41"/>
        <v>16.579713866204415</v>
      </c>
      <c r="AU29" s="84">
        <f>[1]Act!L28</f>
        <v>-23.077292290909099</v>
      </c>
      <c r="AV29" s="90" t="e">
        <f t="shared" si="20"/>
        <v>#VALUE!</v>
      </c>
      <c r="AW29" s="73"/>
      <c r="AX29" s="84">
        <f>IF('[1]FC5+7'!S$3=1,'[1]FC5+7'!S28,"")</f>
        <v>-25.128230461665623</v>
      </c>
      <c r="AY29" s="84">
        <f>IF('[1]FC5+7'!T$3=1,'[1]FC5+7'!T28,"")</f>
        <v>-25.409152780533987</v>
      </c>
      <c r="AZ29" s="84" t="str">
        <f>IF('[1]FC5+7'!U$3=1,'[1]FC5+7'!U28,"")</f>
        <v/>
      </c>
      <c r="BA29" s="89">
        <f>SUM(AX29:AZ29)</f>
        <v>-50.53738324219961</v>
      </c>
      <c r="BB29" s="87">
        <f t="shared" si="42"/>
        <v>-1.4842093916185419</v>
      </c>
      <c r="BC29" s="87">
        <f t="shared" si="42"/>
        <v>-1.9422396332591134</v>
      </c>
      <c r="BD29" s="87">
        <f t="shared" si="42"/>
        <v>0</v>
      </c>
      <c r="BE29" s="90">
        <f t="shared" si="42"/>
        <v>-3.4264490248776553</v>
      </c>
      <c r="BG29" s="84">
        <f t="shared" si="23"/>
        <v>-26.612439853284165</v>
      </c>
      <c r="BH29" s="84">
        <v>-28.299800748606938</v>
      </c>
      <c r="BI29" s="84">
        <v>-29.878045283130579</v>
      </c>
      <c r="BJ29" s="91">
        <f>SUM(BG29:BI29)</f>
        <v>-84.790285885021675</v>
      </c>
      <c r="BK29" s="87">
        <f t="shared" si="25"/>
        <v>0</v>
      </c>
      <c r="BL29" s="87">
        <f t="shared" si="25"/>
        <v>-0.34925101500652644</v>
      </c>
      <c r="BM29" s="87">
        <f t="shared" si="26"/>
        <v>0</v>
      </c>
      <c r="BN29" s="92">
        <f t="shared" si="27"/>
        <v>30.826453617944409</v>
      </c>
      <c r="BP29" s="84">
        <f t="shared" si="28"/>
        <v>-26.612439853284165</v>
      </c>
      <c r="BQ29" s="84">
        <f t="shared" si="28"/>
        <v>-27.3513924137931</v>
      </c>
      <c r="BR29" s="84" t="e">
        <f>#REF!</f>
        <v>#REF!</v>
      </c>
      <c r="BS29" s="91" t="e">
        <f>SUM(BP29:BR29)</f>
        <v>#REF!</v>
      </c>
      <c r="BT29" s="87">
        <f t="shared" si="30"/>
        <v>0</v>
      </c>
      <c r="BU29" s="87">
        <f t="shared" si="30"/>
        <v>-0.34925101500652644</v>
      </c>
      <c r="BV29" s="87" t="e">
        <f t="shared" si="30"/>
        <v>#REF!</v>
      </c>
      <c r="BW29" s="92" t="e">
        <f t="shared" si="30"/>
        <v>#REF!</v>
      </c>
      <c r="BY29" s="92" t="e">
        <f t="shared" si="31"/>
        <v>#VALUE!</v>
      </c>
      <c r="CA29" s="89">
        <f>'[1]FC2+10'!AA28</f>
        <v>-77.884930551539995</v>
      </c>
      <c r="CC29" s="92">
        <f t="shared" si="32"/>
        <v>-23.92109828446273</v>
      </c>
      <c r="CE29" s="84">
        <f>IF('[1]FC7+5'!S$3=1,'[1]FC7+5'!S28,"")</f>
        <v>-27.014485888710098</v>
      </c>
      <c r="CF29" s="84">
        <f>IF('[1]FC7+5'!T$3=1,'[1]FC7+5'!T28,"")</f>
        <v>-25.483146405433015</v>
      </c>
      <c r="CG29" s="84" t="str">
        <f>IF('[1]FC7+5'!U$3=1,'[1]FC7+5'!U28,"")</f>
        <v/>
      </c>
      <c r="CH29" s="95">
        <f>SUM(CE29:CG29)</f>
        <v>-52.497632294143116</v>
      </c>
      <c r="CI29" s="87">
        <f t="shared" si="46"/>
        <v>0.40204603542593276</v>
      </c>
      <c r="CJ29" s="87">
        <f t="shared" si="46"/>
        <v>-1.8682460083600851</v>
      </c>
      <c r="CK29" s="87">
        <f t="shared" si="46"/>
        <v>0</v>
      </c>
      <c r="CL29" s="95">
        <f t="shared" si="46"/>
        <v>-1.4661999729341488</v>
      </c>
      <c r="CM29" s="95">
        <f>IF('[1]FC7+5'!AC$3=1,'[1]FC7+5'!AC28,"")</f>
        <v>-76.523762718681297</v>
      </c>
      <c r="CN29" s="95">
        <f t="shared" si="35"/>
        <v>22.559930451604032</v>
      </c>
    </row>
    <row r="30" spans="2:92" outlineLevel="2">
      <c r="B30" s="81"/>
      <c r="C30" s="81"/>
      <c r="D30" s="178" t="s">
        <v>37</v>
      </c>
      <c r="E30" s="82"/>
      <c r="F30" s="83">
        <f>IF([1]Act!S$3=1,[1]Act!S29,"")</f>
        <v>-1.2445920000000001</v>
      </c>
      <c r="G30" s="83">
        <f>IF([1]Act!T$3=1,[1]Act!T29,"")</f>
        <v>-1.3072075000000001</v>
      </c>
      <c r="H30" s="83" t="str">
        <f>IF([1]Act!U$3=1,[1]Act!U29,"")</f>
        <v/>
      </c>
      <c r="I30" s="85">
        <f t="shared" si="44"/>
        <v>-2.5517995000000004</v>
      </c>
      <c r="K30" s="84">
        <f>IF([1]BP!S$3=1,[1]BP!S29,"")</f>
        <v>-6.0336043455409962</v>
      </c>
      <c r="L30" s="84">
        <f>IF([1]BP!T$3=1,[1]BP!T29,"")</f>
        <v>-6.0477556862978021</v>
      </c>
      <c r="M30" s="84" t="str">
        <f>IF([1]BP!U$3=1,[1]BP!U29,"")</f>
        <v/>
      </c>
      <c r="N30" s="86">
        <f t="shared" si="45"/>
        <v>-12.081360031838798</v>
      </c>
      <c r="O30" s="87">
        <f t="shared" si="36"/>
        <v>4.7890123455409963</v>
      </c>
      <c r="P30" s="87">
        <f t="shared" si="36"/>
        <v>4.7405481862978025</v>
      </c>
      <c r="Q30" s="87">
        <f t="shared" si="36"/>
        <v>0</v>
      </c>
      <c r="R30" s="88">
        <f t="shared" si="37"/>
        <v>9.529560531838797</v>
      </c>
      <c r="S30" s="73"/>
      <c r="T30" s="84">
        <f>IF('[1]FC2+10'!S$3=1,'[1]FC2+10'!S29,"")</f>
        <v>-2.0189061095458101</v>
      </c>
      <c r="U30" s="84">
        <f>IF('[1]FC2+10'!T$3=1,'[1]FC2+10'!T29,"")</f>
        <v>-2.0293242128863995</v>
      </c>
      <c r="V30" s="84" t="str">
        <f>IF('[1]FC2+10'!U$3=1,'[1]FC2+10'!U29,"")</f>
        <v/>
      </c>
      <c r="W30" s="89">
        <f t="shared" si="47"/>
        <v>-4.0482303224322091</v>
      </c>
      <c r="X30" s="87">
        <f t="shared" si="38"/>
        <v>0.77431410954580993</v>
      </c>
      <c r="Y30" s="87">
        <f t="shared" si="38"/>
        <v>0.72211671288639945</v>
      </c>
      <c r="Z30" s="87">
        <f t="shared" si="38"/>
        <v>0</v>
      </c>
      <c r="AA30" s="90">
        <f t="shared" si="39"/>
        <v>1.4964308224322087</v>
      </c>
      <c r="AB30" s="73"/>
      <c r="AC30" s="84">
        <f>IF([1]OL!S$3=1,[1]OL!S29,"")</f>
        <v>-1.2445920000000001</v>
      </c>
      <c r="AD30" s="84">
        <f>IF([1]OL!T$3=1,[1]OL!T29,"")</f>
        <v>-0.42220004250792786</v>
      </c>
      <c r="AE30" s="84" t="str">
        <f>IF([1]OL!U$3=1,[1]OL!U29,"")</f>
        <v/>
      </c>
      <c r="AF30" s="91">
        <f>SUM(AC30:AE30)</f>
        <v>-1.6667920425079279</v>
      </c>
      <c r="AG30" s="87">
        <f t="shared" si="40"/>
        <v>0</v>
      </c>
      <c r="AH30" s="87">
        <f t="shared" si="40"/>
        <v>-0.88500745749207221</v>
      </c>
      <c r="AI30" s="87">
        <f t="shared" si="40"/>
        <v>0</v>
      </c>
      <c r="AJ30" s="92">
        <f t="shared" si="40"/>
        <v>-0.88500745749207255</v>
      </c>
      <c r="AK30" s="73"/>
      <c r="AL30" s="84">
        <f>IF([1]LY!S$3=1,[1]LY!S29,"")</f>
        <v>-5.3427997999999937</v>
      </c>
      <c r="AM30" s="84">
        <f>IF([1]LY!T$3=1,[1]LY!T29,"")</f>
        <v>-5.4030136000000057</v>
      </c>
      <c r="AN30" s="84" t="str">
        <f>IF([1]LY!U$3=1,[1]LY!U29,"")</f>
        <v/>
      </c>
      <c r="AO30" s="93">
        <f>SUM(AL30:AN30)</f>
        <v>-10.745813399999999</v>
      </c>
      <c r="AP30" s="87">
        <f t="shared" si="41"/>
        <v>4.0982077999999937</v>
      </c>
      <c r="AQ30" s="87">
        <f t="shared" si="41"/>
        <v>4.0958061000000061</v>
      </c>
      <c r="AR30" s="87">
        <f t="shared" si="41"/>
        <v>0</v>
      </c>
      <c r="AS30" s="94">
        <f t="shared" si="41"/>
        <v>8.1940138999999981</v>
      </c>
      <c r="AU30" s="84">
        <f>[1]Act!L29</f>
        <v>-0.15909600000000002</v>
      </c>
      <c r="AV30" s="90" t="e">
        <f t="shared" si="20"/>
        <v>#VALUE!</v>
      </c>
      <c r="AW30" s="73"/>
      <c r="AX30" s="84">
        <f>IF('[1]FC5+7'!S$3=1,'[1]FC5+7'!S29,"")</f>
        <v>-1.70289030821585</v>
      </c>
      <c r="AY30" s="84">
        <f>IF('[1]FC5+7'!T$3=1,'[1]FC5+7'!T29,"")</f>
        <v>-1.7733443304865499</v>
      </c>
      <c r="AZ30" s="84" t="str">
        <f>IF('[1]FC5+7'!U$3=1,'[1]FC5+7'!U29,"")</f>
        <v/>
      </c>
      <c r="BA30" s="89">
        <f>SUM(AX30:AZ30)</f>
        <v>-3.4762346387024001</v>
      </c>
      <c r="BB30" s="87">
        <f t="shared" si="42"/>
        <v>0.45829830821584983</v>
      </c>
      <c r="BC30" s="87">
        <f t="shared" si="42"/>
        <v>0.46613683048654986</v>
      </c>
      <c r="BD30" s="87">
        <f t="shared" si="42"/>
        <v>0</v>
      </c>
      <c r="BE30" s="90">
        <f t="shared" si="42"/>
        <v>0.92443513870239968</v>
      </c>
      <c r="BG30" s="84">
        <f t="shared" si="23"/>
        <v>-1.2445920000000001</v>
      </c>
      <c r="BH30" s="84">
        <v>-3.5255096056859725</v>
      </c>
      <c r="BI30" s="84">
        <v>-3.7706107179214157</v>
      </c>
      <c r="BJ30" s="91">
        <f>SUM(BG30:BI30)</f>
        <v>-8.540712323607389</v>
      </c>
      <c r="BK30" s="87">
        <f t="shared" si="25"/>
        <v>0</v>
      </c>
      <c r="BL30" s="87">
        <f t="shared" si="25"/>
        <v>-0.88500745749207221</v>
      </c>
      <c r="BM30" s="87">
        <f t="shared" si="26"/>
        <v>0</v>
      </c>
      <c r="BN30" s="92">
        <f t="shared" si="27"/>
        <v>5.9889128236073885</v>
      </c>
      <c r="BP30" s="84">
        <f t="shared" si="28"/>
        <v>-1.2445920000000001</v>
      </c>
      <c r="BQ30" s="84">
        <f t="shared" si="28"/>
        <v>-1.3072075000000001</v>
      </c>
      <c r="BR30" s="84" t="e">
        <f>#REF!</f>
        <v>#REF!</v>
      </c>
      <c r="BS30" s="91" t="e">
        <f>SUM(BP30:BR30)</f>
        <v>#REF!</v>
      </c>
      <c r="BT30" s="87">
        <f t="shared" si="30"/>
        <v>0</v>
      </c>
      <c r="BU30" s="87">
        <f t="shared" si="30"/>
        <v>-0.88500745749207221</v>
      </c>
      <c r="BV30" s="87" t="e">
        <f t="shared" si="30"/>
        <v>#REF!</v>
      </c>
      <c r="BW30" s="92" t="e">
        <f t="shared" si="30"/>
        <v>#REF!</v>
      </c>
      <c r="BY30" s="92" t="e">
        <f t="shared" si="31"/>
        <v>#VALUE!</v>
      </c>
      <c r="CA30" s="89">
        <f>'[1]FC2+10'!AA29</f>
        <v>-0.44583332916971252</v>
      </c>
      <c r="CC30" s="92">
        <f t="shared" si="32"/>
        <v>2.1059661708302881</v>
      </c>
      <c r="CE30" s="84">
        <f>IF('[1]FC7+5'!S$3=1,'[1]FC7+5'!S29,"")</f>
        <v>-1.1801973059963797</v>
      </c>
      <c r="CF30" s="84">
        <f>IF('[1]FC7+5'!T$3=1,'[1]FC7+5'!T29,"")</f>
        <v>-1.1223189541041301</v>
      </c>
      <c r="CG30" s="84" t="str">
        <f>IF('[1]FC7+5'!U$3=1,'[1]FC7+5'!U29,"")</f>
        <v/>
      </c>
      <c r="CH30" s="95">
        <f>SUM(CE30:CG30)</f>
        <v>-2.3025162601005098</v>
      </c>
      <c r="CI30" s="87">
        <f t="shared" si="46"/>
        <v>-6.4394694003620412E-2</v>
      </c>
      <c r="CJ30" s="87">
        <f t="shared" si="46"/>
        <v>-0.18488854589587</v>
      </c>
      <c r="CK30" s="87">
        <f t="shared" si="46"/>
        <v>0</v>
      </c>
      <c r="CL30" s="95">
        <f t="shared" si="46"/>
        <v>-0.24928323989949064</v>
      </c>
      <c r="CM30" s="95">
        <f>IF('[1]FC7+5'!AC$3=1,'[1]FC7+5'!AC29,"")</f>
        <v>-3.5493797531783602</v>
      </c>
      <c r="CN30" s="95">
        <f t="shared" si="35"/>
        <v>0.99758025317835974</v>
      </c>
    </row>
    <row r="31" spans="2:92" outlineLevel="2">
      <c r="B31" s="81"/>
      <c r="C31" s="81"/>
      <c r="D31" s="178" t="s">
        <v>93</v>
      </c>
      <c r="E31" s="82"/>
      <c r="F31" s="83">
        <f>IF([1]Act!S$3=1,[1]Act!S30,"")</f>
        <v>0</v>
      </c>
      <c r="G31" s="83">
        <f>IF([1]Act!T$3=1,[1]Act!T30,"")</f>
        <v>0</v>
      </c>
      <c r="H31" s="83" t="str">
        <f>IF([1]Act!U$3=1,[1]Act!U30,"")</f>
        <v/>
      </c>
      <c r="I31" s="85">
        <f t="shared" si="44"/>
        <v>0</v>
      </c>
      <c r="K31" s="84">
        <f>IF([1]BP!S$3=1,[1]BP!S30,"")</f>
        <v>-1.0589537015111006E-2</v>
      </c>
      <c r="L31" s="84">
        <f>IF([1]BP!T$3=1,[1]BP!T30,"")</f>
        <v>-1.0358472704396604E-2</v>
      </c>
      <c r="M31" s="84" t="str">
        <f>IF([1]BP!U$3=1,[1]BP!U30,"")</f>
        <v/>
      </c>
      <c r="N31" s="86">
        <f t="shared" si="45"/>
        <v>-2.094800971950761E-2</v>
      </c>
      <c r="O31" s="87">
        <f t="shared" si="36"/>
        <v>1.0589537015111006E-2</v>
      </c>
      <c r="P31" s="87">
        <f t="shared" si="36"/>
        <v>1.0358472704396604E-2</v>
      </c>
      <c r="Q31" s="87">
        <f t="shared" si="36"/>
        <v>0</v>
      </c>
      <c r="R31" s="88">
        <f t="shared" si="37"/>
        <v>2.094800971950761E-2</v>
      </c>
      <c r="S31" s="73"/>
      <c r="T31" s="84">
        <f>IF('[1]FC2+10'!S$3=1,'[1]FC2+10'!S30,"")</f>
        <v>0</v>
      </c>
      <c r="U31" s="84">
        <f>IF('[1]FC2+10'!T$3=1,'[1]FC2+10'!T30,"")</f>
        <v>0</v>
      </c>
      <c r="V31" s="84" t="str">
        <f>IF('[1]FC2+10'!U$3=1,'[1]FC2+10'!U30,"")</f>
        <v/>
      </c>
      <c r="W31" s="89">
        <f>SUM(T31:V31)</f>
        <v>0</v>
      </c>
      <c r="X31" s="87">
        <f t="shared" si="38"/>
        <v>0</v>
      </c>
      <c r="Y31" s="87">
        <f t="shared" si="38"/>
        <v>0</v>
      </c>
      <c r="Z31" s="87">
        <f t="shared" si="38"/>
        <v>0</v>
      </c>
      <c r="AA31" s="90">
        <f t="shared" si="39"/>
        <v>0</v>
      </c>
      <c r="AB31" s="73"/>
      <c r="AC31" s="84">
        <f>IF([1]OL!S$3=1,[1]OL!S30,"")</f>
        <v>0</v>
      </c>
      <c r="AD31" s="84">
        <f>IF([1]OL!T$3=1,[1]OL!T30,"")</f>
        <v>0</v>
      </c>
      <c r="AE31" s="84" t="str">
        <f>IF([1]OL!U$3=1,[1]OL!U30,"")</f>
        <v/>
      </c>
      <c r="AF31" s="91">
        <f>SUM(AC31:AE31)</f>
        <v>0</v>
      </c>
      <c r="AG31" s="87">
        <f t="shared" si="40"/>
        <v>0</v>
      </c>
      <c r="AH31" s="87">
        <f t="shared" si="40"/>
        <v>0</v>
      </c>
      <c r="AI31" s="87">
        <f t="shared" si="40"/>
        <v>0</v>
      </c>
      <c r="AJ31" s="92">
        <f t="shared" si="40"/>
        <v>0</v>
      </c>
      <c r="AK31" s="73"/>
      <c r="AL31" s="84">
        <f>IF([1]LY!S$3=1,[1]LY!S30,"")</f>
        <v>0</v>
      </c>
      <c r="AM31" s="84">
        <f>IF([1]LY!T$3=1,[1]LY!T30,"")</f>
        <v>0</v>
      </c>
      <c r="AN31" s="84" t="str">
        <f>IF([1]LY!U$3=1,[1]LY!U30,"")</f>
        <v/>
      </c>
      <c r="AO31" s="93">
        <f>SUM(AL31:AN31)</f>
        <v>0</v>
      </c>
      <c r="AP31" s="87">
        <f t="shared" si="41"/>
        <v>0</v>
      </c>
      <c r="AQ31" s="87">
        <f t="shared" si="41"/>
        <v>0</v>
      </c>
      <c r="AR31" s="87">
        <f t="shared" si="41"/>
        <v>0</v>
      </c>
      <c r="AS31" s="94">
        <f t="shared" si="41"/>
        <v>0</v>
      </c>
      <c r="AU31" s="84">
        <f>[1]Act!L30</f>
        <v>0</v>
      </c>
      <c r="AV31" s="90" t="e">
        <f t="shared" si="20"/>
        <v>#VALUE!</v>
      </c>
      <c r="AW31" s="73"/>
      <c r="AX31" s="84">
        <f>IF('[1]FC5+7'!S$3=1,'[1]FC5+7'!S30,"")</f>
        <v>0</v>
      </c>
      <c r="AY31" s="84">
        <f>IF('[1]FC5+7'!T$3=1,'[1]FC5+7'!T30,"")</f>
        <v>0</v>
      </c>
      <c r="AZ31" s="84" t="str">
        <f>IF('[1]FC5+7'!U$3=1,'[1]FC5+7'!U30,"")</f>
        <v/>
      </c>
      <c r="BA31" s="89">
        <f>SUM(AX31:AZ31)</f>
        <v>0</v>
      </c>
      <c r="BB31" s="87">
        <f t="shared" si="42"/>
        <v>0</v>
      </c>
      <c r="BC31" s="87">
        <f t="shared" si="42"/>
        <v>0</v>
      </c>
      <c r="BD31" s="87">
        <f t="shared" si="42"/>
        <v>0</v>
      </c>
      <c r="BE31" s="90">
        <f t="shared" si="42"/>
        <v>0</v>
      </c>
      <c r="BG31" s="84">
        <f t="shared" si="23"/>
        <v>0</v>
      </c>
      <c r="BH31" s="84">
        <v>0</v>
      </c>
      <c r="BI31" s="84">
        <v>0</v>
      </c>
      <c r="BJ31" s="91">
        <f>SUM(BG31:BI31)</f>
        <v>0</v>
      </c>
      <c r="BK31" s="87">
        <f t="shared" si="25"/>
        <v>0</v>
      </c>
      <c r="BL31" s="87">
        <f t="shared" si="25"/>
        <v>0</v>
      </c>
      <c r="BM31" s="87">
        <f t="shared" si="26"/>
        <v>0</v>
      </c>
      <c r="BN31" s="92">
        <f t="shared" si="27"/>
        <v>0</v>
      </c>
      <c r="BP31" s="84">
        <f t="shared" si="28"/>
        <v>0</v>
      </c>
      <c r="BQ31" s="84">
        <f t="shared" si="28"/>
        <v>0</v>
      </c>
      <c r="BR31" s="84" t="e">
        <f>#REF!</f>
        <v>#REF!</v>
      </c>
      <c r="BS31" s="91" t="e">
        <f>SUM(BP31:BR31)</f>
        <v>#REF!</v>
      </c>
      <c r="BT31" s="87">
        <f t="shared" si="30"/>
        <v>0</v>
      </c>
      <c r="BU31" s="87">
        <f t="shared" si="30"/>
        <v>0</v>
      </c>
      <c r="BV31" s="87" t="e">
        <f t="shared" si="30"/>
        <v>#REF!</v>
      </c>
      <c r="BW31" s="92" t="e">
        <f t="shared" si="30"/>
        <v>#REF!</v>
      </c>
      <c r="BY31" s="92" t="e">
        <f t="shared" si="31"/>
        <v>#VALUE!</v>
      </c>
      <c r="CA31" s="89">
        <f>'[1]FC2+10'!AA30</f>
        <v>0</v>
      </c>
      <c r="CC31" s="92">
        <f t="shared" si="32"/>
        <v>0</v>
      </c>
      <c r="CE31" s="84">
        <f>IF('[1]FC7+5'!S$3=1,'[1]FC7+5'!S30,"")</f>
        <v>0</v>
      </c>
      <c r="CF31" s="84">
        <f>IF('[1]FC7+5'!T$3=1,'[1]FC7+5'!T30,"")</f>
        <v>0</v>
      </c>
      <c r="CG31" s="84" t="str">
        <f>IF('[1]FC7+5'!U$3=1,'[1]FC7+5'!U30,"")</f>
        <v/>
      </c>
      <c r="CH31" s="95">
        <f>SUM(CE31:CG31)</f>
        <v>0</v>
      </c>
      <c r="CI31" s="87">
        <f t="shared" si="46"/>
        <v>0</v>
      </c>
      <c r="CJ31" s="87">
        <f t="shared" si="46"/>
        <v>0</v>
      </c>
      <c r="CK31" s="87">
        <f t="shared" si="46"/>
        <v>0</v>
      </c>
      <c r="CL31" s="95">
        <f t="shared" si="46"/>
        <v>0</v>
      </c>
      <c r="CM31" s="95">
        <f>IF('[1]FC7+5'!AC$3=1,'[1]FC7+5'!AC30,"")</f>
        <v>0</v>
      </c>
      <c r="CN31" s="95">
        <f t="shared" si="35"/>
        <v>0</v>
      </c>
    </row>
    <row r="32" spans="2:92" outlineLevel="2">
      <c r="B32" s="81"/>
      <c r="C32" s="81"/>
      <c r="D32" s="178" t="s">
        <v>38</v>
      </c>
      <c r="E32" s="82"/>
      <c r="F32" s="83">
        <f>IF([1]Act!S$3=1,[1]Act!S31,"")</f>
        <v>-8.6311958000000288</v>
      </c>
      <c r="G32" s="83">
        <f>IF([1]Act!T$3=1,[1]Act!T31,"")</f>
        <v>-8.1543116999999903</v>
      </c>
      <c r="H32" s="83" t="str">
        <f>IF([1]Act!U$3=1,[1]Act!U31,"")</f>
        <v/>
      </c>
      <c r="I32" s="85">
        <f t="shared" si="44"/>
        <v>-16.785507500000019</v>
      </c>
      <c r="K32" s="84">
        <f>IF([1]BP!S$3=1,[1]BP!S31,"")</f>
        <v>-12.167504675059304</v>
      </c>
      <c r="L32" s="84">
        <f>IF([1]BP!T$3=1,[1]BP!T31,"")</f>
        <v>-11.297827359439397</v>
      </c>
      <c r="M32" s="84" t="str">
        <f>IF([1]BP!U$3=1,[1]BP!U31,"")</f>
        <v/>
      </c>
      <c r="N32" s="86">
        <f t="shared" si="45"/>
        <v>-23.465332034498701</v>
      </c>
      <c r="O32" s="87">
        <f t="shared" si="36"/>
        <v>3.5363088750592748</v>
      </c>
      <c r="P32" s="87">
        <f t="shared" si="36"/>
        <v>3.1435156594394069</v>
      </c>
      <c r="Q32" s="87">
        <f t="shared" si="36"/>
        <v>0</v>
      </c>
      <c r="R32" s="88">
        <f t="shared" si="37"/>
        <v>6.6798245344986817</v>
      </c>
      <c r="S32" s="73"/>
      <c r="T32" s="84">
        <f>IF('[1]FC2+10'!S$3=1,'[1]FC2+10'!S31,"")</f>
        <v>-8.1156673102168853</v>
      </c>
      <c r="U32" s="84">
        <f>IF('[1]FC2+10'!T$3=1,'[1]FC2+10'!T31,"")</f>
        <v>-8.9991257791385877</v>
      </c>
      <c r="V32" s="84" t="str">
        <f>IF('[1]FC2+10'!U$3=1,'[1]FC2+10'!U31,"")</f>
        <v/>
      </c>
      <c r="W32" s="89">
        <f t="shared" si="47"/>
        <v>-17.114793089355473</v>
      </c>
      <c r="X32" s="87">
        <f t="shared" si="38"/>
        <v>-0.51552848978314358</v>
      </c>
      <c r="Y32" s="87">
        <f t="shared" si="38"/>
        <v>0.84481407913859741</v>
      </c>
      <c r="Z32" s="87">
        <f t="shared" si="38"/>
        <v>0</v>
      </c>
      <c r="AA32" s="90">
        <f t="shared" si="39"/>
        <v>0.32928558935545382</v>
      </c>
      <c r="AB32" s="73"/>
      <c r="AC32" s="84">
        <f>IF([1]OL!S$3=1,[1]OL!S31,"")</f>
        <v>-8.6311958000000288</v>
      </c>
      <c r="AD32" s="84">
        <f>IF([1]OL!T$3=1,[1]OL!T31,"")</f>
        <v>-5.8328414206739323</v>
      </c>
      <c r="AE32" s="84" t="str">
        <f>IF([1]OL!U$3=1,[1]OL!U31,"")</f>
        <v/>
      </c>
      <c r="AF32" s="91">
        <f t="shared" ref="AF32:AF47" si="48">SUM(AC32:AE32)</f>
        <v>-14.464037220673962</v>
      </c>
      <c r="AG32" s="87">
        <f t="shared" si="40"/>
        <v>0</v>
      </c>
      <c r="AH32" s="87">
        <f t="shared" si="40"/>
        <v>-2.321470279326058</v>
      </c>
      <c r="AI32" s="87">
        <f t="shared" si="40"/>
        <v>0</v>
      </c>
      <c r="AJ32" s="92">
        <f t="shared" si="40"/>
        <v>-2.3214702793260571</v>
      </c>
      <c r="AK32" s="73"/>
      <c r="AL32" s="84">
        <f>IF([1]LY!S$3=1,[1]LY!S31,"")</f>
        <v>-7.3043687000000022</v>
      </c>
      <c r="AM32" s="84">
        <f>IF([1]LY!T$3=1,[1]LY!T31,"")</f>
        <v>-8.6691244000000367</v>
      </c>
      <c r="AN32" s="84" t="str">
        <f>IF([1]LY!U$3=1,[1]LY!U31,"")</f>
        <v/>
      </c>
      <c r="AO32" s="93">
        <f t="shared" ref="AO32:AO47" si="49">SUM(AL32:AN32)</f>
        <v>-15.973493100000038</v>
      </c>
      <c r="AP32" s="87">
        <f t="shared" si="41"/>
        <v>-1.3268271000000267</v>
      </c>
      <c r="AQ32" s="87">
        <f t="shared" si="41"/>
        <v>0.51481270000004642</v>
      </c>
      <c r="AR32" s="87">
        <f t="shared" si="41"/>
        <v>0</v>
      </c>
      <c r="AS32" s="94">
        <f t="shared" si="41"/>
        <v>-0.81201439999998115</v>
      </c>
      <c r="AU32" s="84">
        <f>[1]Act!L31</f>
        <v>-9.4293348000000137</v>
      </c>
      <c r="AV32" s="90" t="e">
        <f t="shared" si="20"/>
        <v>#VALUE!</v>
      </c>
      <c r="AW32" s="73"/>
      <c r="AX32" s="84">
        <f>IF('[1]FC5+7'!S$3=1,'[1]FC5+7'!S31,"")</f>
        <v>-9.171214139945004</v>
      </c>
      <c r="AY32" s="84">
        <f>IF('[1]FC5+7'!T$3=1,'[1]FC5+7'!T31,"")</f>
        <v>-9.7134592213744906</v>
      </c>
      <c r="AZ32" s="84" t="str">
        <f>IF('[1]FC5+7'!U$3=1,'[1]FC5+7'!U31,"")</f>
        <v/>
      </c>
      <c r="BA32" s="89">
        <f t="shared" ref="BA32:BA47" si="50">SUM(AX32:AZ32)</f>
        <v>-18.884673361319493</v>
      </c>
      <c r="BB32" s="87">
        <f t="shared" si="42"/>
        <v>0.54001833994497517</v>
      </c>
      <c r="BC32" s="87">
        <f t="shared" si="42"/>
        <v>1.5591475213745003</v>
      </c>
      <c r="BD32" s="87">
        <f t="shared" si="42"/>
        <v>0</v>
      </c>
      <c r="BE32" s="90">
        <f t="shared" si="42"/>
        <v>2.0991658613194737</v>
      </c>
      <c r="BG32" s="84">
        <f t="shared" si="23"/>
        <v>-8.6311958000000288</v>
      </c>
      <c r="BH32" s="84">
        <v>-6.6139371904380591</v>
      </c>
      <c r="BI32" s="84">
        <v>-7.4965247023979096</v>
      </c>
      <c r="BJ32" s="91">
        <f t="shared" ref="BJ32:BJ47" si="51">SUM(BG32:BI32)</f>
        <v>-22.741657692835997</v>
      </c>
      <c r="BK32" s="87">
        <f t="shared" si="25"/>
        <v>0</v>
      </c>
      <c r="BL32" s="87">
        <f t="shared" si="25"/>
        <v>-2.321470279326058</v>
      </c>
      <c r="BM32" s="87">
        <f t="shared" si="26"/>
        <v>0</v>
      </c>
      <c r="BN32" s="92">
        <f t="shared" si="27"/>
        <v>5.9561501928359775</v>
      </c>
      <c r="BP32" s="84">
        <f t="shared" si="28"/>
        <v>-8.6311958000000288</v>
      </c>
      <c r="BQ32" s="84">
        <f t="shared" si="28"/>
        <v>-8.1543116999999903</v>
      </c>
      <c r="BR32" s="84" t="e">
        <f>#REF!</f>
        <v>#REF!</v>
      </c>
      <c r="BS32" s="91" t="e">
        <f t="shared" ref="BS32:BS47" si="52">SUM(BP32:BR32)</f>
        <v>#REF!</v>
      </c>
      <c r="BT32" s="87">
        <f t="shared" si="30"/>
        <v>0</v>
      </c>
      <c r="BU32" s="87">
        <f t="shared" si="30"/>
        <v>-2.321470279326058</v>
      </c>
      <c r="BV32" s="87" t="e">
        <f t="shared" si="30"/>
        <v>#REF!</v>
      </c>
      <c r="BW32" s="92" t="e">
        <f t="shared" si="30"/>
        <v>#REF!</v>
      </c>
      <c r="BY32" s="92" t="e">
        <f t="shared" si="31"/>
        <v>#VALUE!</v>
      </c>
      <c r="CA32" s="89">
        <f>'[1]FC2+10'!AA31</f>
        <v>-25.760772365719085</v>
      </c>
      <c r="CC32" s="92">
        <f t="shared" si="32"/>
        <v>-8.9752648657190655</v>
      </c>
      <c r="CE32" s="84">
        <f>IF('[1]FC7+5'!S$3=1,'[1]FC7+5'!S31,"")</f>
        <v>-6.6166432820694459</v>
      </c>
      <c r="CF32" s="84">
        <f>IF('[1]FC7+5'!T$3=1,'[1]FC7+5'!T31,"")</f>
        <v>-8.2443960160479772</v>
      </c>
      <c r="CG32" s="84" t="str">
        <f>IF('[1]FC7+5'!U$3=1,'[1]FC7+5'!U31,"")</f>
        <v/>
      </c>
      <c r="CH32" s="95">
        <f t="shared" ref="CH32:CH39" si="53">SUM(CE32:CG32)</f>
        <v>-14.861039298117422</v>
      </c>
      <c r="CI32" s="87">
        <f t="shared" si="46"/>
        <v>-2.014552517930583</v>
      </c>
      <c r="CJ32" s="87">
        <f t="shared" si="46"/>
        <v>9.0084316047986945E-2</v>
      </c>
      <c r="CK32" s="87">
        <f t="shared" si="46"/>
        <v>0</v>
      </c>
      <c r="CL32" s="95">
        <f t="shared" si="46"/>
        <v>-1.9244682018825969</v>
      </c>
      <c r="CM32" s="95">
        <f>IF('[1]FC7+5'!AC$3=1,'[1]FC7+5'!AC31,"")</f>
        <v>-21.783652969923306</v>
      </c>
      <c r="CN32" s="95">
        <f t="shared" si="35"/>
        <v>4.998145469923287</v>
      </c>
    </row>
    <row r="33" spans="2:95" outlineLevel="2">
      <c r="B33" s="81"/>
      <c r="C33" s="81"/>
      <c r="D33" s="178" t="s">
        <v>94</v>
      </c>
      <c r="E33" s="82"/>
      <c r="F33" s="179">
        <f>IF([1]Act!S$3=1,[1]Act!S32,"")</f>
        <v>0</v>
      </c>
      <c r="G33" s="179">
        <f>IF([1]Act!T$3=1,[1]Act!T32,"")</f>
        <v>0</v>
      </c>
      <c r="H33" s="179" t="str">
        <f>IF([1]Act!U$3=1,[1]Act!U32,"")</f>
        <v/>
      </c>
      <c r="I33" s="180">
        <f t="shared" si="44"/>
        <v>0</v>
      </c>
      <c r="K33" s="181">
        <f>IF([1]BP!S$3=1,[1]BP!S32,"")</f>
        <v>0</v>
      </c>
      <c r="L33" s="181">
        <f>IF([1]BP!T$3=1,[1]BP!T32,"")</f>
        <v>0</v>
      </c>
      <c r="M33" s="181" t="str">
        <f>IF([1]BP!U$3=1,[1]BP!U32,"")</f>
        <v/>
      </c>
      <c r="N33" s="181">
        <f t="shared" si="45"/>
        <v>0</v>
      </c>
      <c r="O33" s="181">
        <f t="shared" si="36"/>
        <v>0</v>
      </c>
      <c r="P33" s="181">
        <f t="shared" si="36"/>
        <v>0</v>
      </c>
      <c r="Q33" s="181">
        <f t="shared" si="36"/>
        <v>0</v>
      </c>
      <c r="R33" s="181">
        <f t="shared" si="37"/>
        <v>0</v>
      </c>
      <c r="S33" s="73"/>
      <c r="T33" s="181">
        <f>IF('[1]FC2+10'!S$3=1,'[1]FC2+10'!S32,"")</f>
        <v>0</v>
      </c>
      <c r="U33" s="181">
        <f>IF('[1]FC2+10'!T$3=1,'[1]FC2+10'!T32,"")</f>
        <v>0</v>
      </c>
      <c r="V33" s="181" t="str">
        <f>IF('[1]FC2+10'!U$3=1,'[1]FC2+10'!U32,"")</f>
        <v/>
      </c>
      <c r="W33" s="181">
        <f t="shared" si="47"/>
        <v>0</v>
      </c>
      <c r="X33" s="181">
        <f t="shared" si="38"/>
        <v>0</v>
      </c>
      <c r="Y33" s="181">
        <f t="shared" si="38"/>
        <v>0</v>
      </c>
      <c r="Z33" s="181">
        <f t="shared" si="38"/>
        <v>0</v>
      </c>
      <c r="AA33" s="181">
        <f t="shared" si="39"/>
        <v>0</v>
      </c>
      <c r="AB33" s="73"/>
      <c r="AC33" s="181">
        <f>IF([1]OL!S$3=1,[1]OL!S32,"")</f>
        <v>0</v>
      </c>
      <c r="AD33" s="181">
        <f>IF([1]OL!T$3=1,[1]OL!T32,"")</f>
        <v>0</v>
      </c>
      <c r="AE33" s="181" t="str">
        <f>IF([1]OL!U$3=1,[1]OL!U32,"")</f>
        <v/>
      </c>
      <c r="AF33" s="91">
        <f t="shared" si="48"/>
        <v>0</v>
      </c>
      <c r="AG33" s="181">
        <f t="shared" si="40"/>
        <v>0</v>
      </c>
      <c r="AH33" s="181">
        <f t="shared" si="40"/>
        <v>0</v>
      </c>
      <c r="AI33" s="181">
        <f t="shared" si="40"/>
        <v>0</v>
      </c>
      <c r="AJ33" s="92">
        <f t="shared" si="40"/>
        <v>0</v>
      </c>
      <c r="AK33" s="73"/>
      <c r="AL33" s="181">
        <f>IF([1]LY!S$3=1,[1]LY!S32,"")</f>
        <v>0</v>
      </c>
      <c r="AM33" s="181">
        <f>IF([1]LY!T$3=1,[1]LY!T32,"")</f>
        <v>0</v>
      </c>
      <c r="AN33" s="181" t="str">
        <f>IF([1]LY!U$3=1,[1]LY!U32,"")</f>
        <v/>
      </c>
      <c r="AO33" s="93">
        <f t="shared" si="49"/>
        <v>0</v>
      </c>
      <c r="AP33" s="181">
        <f t="shared" si="41"/>
        <v>0</v>
      </c>
      <c r="AQ33" s="181">
        <f t="shared" si="41"/>
        <v>0</v>
      </c>
      <c r="AR33" s="181">
        <f t="shared" si="41"/>
        <v>0</v>
      </c>
      <c r="AS33" s="94">
        <f t="shared" si="41"/>
        <v>0</v>
      </c>
      <c r="AU33" s="181">
        <f>[1]Act!L32</f>
        <v>0</v>
      </c>
      <c r="AV33" s="90" t="e">
        <f t="shared" si="20"/>
        <v>#VALUE!</v>
      </c>
      <c r="AW33" s="73"/>
      <c r="AX33" s="181">
        <f>IF('[1]FC5+7'!S$3=1,'[1]FC5+7'!S32,"")</f>
        <v>0</v>
      </c>
      <c r="AY33" s="181">
        <f>IF('[1]FC5+7'!T$3=1,'[1]FC5+7'!T32,"")</f>
        <v>0</v>
      </c>
      <c r="AZ33" s="181" t="str">
        <f>IF('[1]FC5+7'!U$3=1,'[1]FC5+7'!U32,"")</f>
        <v/>
      </c>
      <c r="BA33" s="181">
        <f t="shared" si="50"/>
        <v>0</v>
      </c>
      <c r="BB33" s="181">
        <f t="shared" si="42"/>
        <v>0</v>
      </c>
      <c r="BC33" s="181">
        <f t="shared" si="42"/>
        <v>0</v>
      </c>
      <c r="BD33" s="181">
        <f t="shared" si="42"/>
        <v>0</v>
      </c>
      <c r="BE33" s="181">
        <f t="shared" si="42"/>
        <v>0</v>
      </c>
      <c r="BG33" s="181">
        <f t="shared" si="23"/>
        <v>0</v>
      </c>
      <c r="BH33" s="181">
        <v>0</v>
      </c>
      <c r="BI33" s="181">
        <v>0</v>
      </c>
      <c r="BJ33" s="91">
        <f t="shared" si="51"/>
        <v>0</v>
      </c>
      <c r="BK33" s="181">
        <f t="shared" si="25"/>
        <v>0</v>
      </c>
      <c r="BL33" s="181">
        <f t="shared" si="25"/>
        <v>0</v>
      </c>
      <c r="BM33" s="181">
        <f t="shared" si="26"/>
        <v>0</v>
      </c>
      <c r="BN33" s="92">
        <f t="shared" si="27"/>
        <v>0</v>
      </c>
      <c r="BP33" s="181">
        <f t="shared" si="28"/>
        <v>0</v>
      </c>
      <c r="BQ33" s="181">
        <f t="shared" si="28"/>
        <v>0</v>
      </c>
      <c r="BR33" s="181" t="e">
        <f>#REF!</f>
        <v>#REF!</v>
      </c>
      <c r="BS33" s="91" t="e">
        <f t="shared" si="52"/>
        <v>#REF!</v>
      </c>
      <c r="BT33" s="181">
        <f t="shared" si="30"/>
        <v>0</v>
      </c>
      <c r="BU33" s="181">
        <f t="shared" si="30"/>
        <v>0</v>
      </c>
      <c r="BV33" s="181" t="e">
        <f t="shared" si="30"/>
        <v>#REF!</v>
      </c>
      <c r="BW33" s="92" t="e">
        <f t="shared" si="30"/>
        <v>#REF!</v>
      </c>
      <c r="BY33" s="92" t="e">
        <f t="shared" si="31"/>
        <v>#VALUE!</v>
      </c>
      <c r="CA33" s="181">
        <f>'[1]FC2+10'!AA32</f>
        <v>0</v>
      </c>
      <c r="CC33" s="92">
        <f t="shared" si="32"/>
        <v>0</v>
      </c>
      <c r="CE33" s="181">
        <f>IF('[1]FC5+7'!S$3=1,'[1]FC5+7'!S32,"")</f>
        <v>0</v>
      </c>
      <c r="CF33" s="181" t="str">
        <f>IF('[1]FC5+7'!BA$3=1,'[1]FC5+7'!BA32,"")</f>
        <v/>
      </c>
      <c r="CG33" s="181" t="str">
        <f>IF('[1]FC5+7'!BB$3=1,'[1]FC5+7'!BB32,"")</f>
        <v/>
      </c>
      <c r="CH33" s="95">
        <f t="shared" si="53"/>
        <v>0</v>
      </c>
      <c r="CI33" s="181">
        <f t="shared" si="46"/>
        <v>0</v>
      </c>
      <c r="CJ33" s="181">
        <f t="shared" si="46"/>
        <v>0</v>
      </c>
      <c r="CK33" s="181">
        <f t="shared" si="46"/>
        <v>0</v>
      </c>
      <c r="CL33" s="95">
        <f t="shared" si="46"/>
        <v>0</v>
      </c>
      <c r="CM33" s="95" t="str">
        <f>IF('[1]FC5+7'!AC$3=1,'[1]FC5+7'!AC32,"")</f>
        <v/>
      </c>
      <c r="CN33" s="95"/>
    </row>
    <row r="34" spans="2:95" outlineLevel="2">
      <c r="B34" s="81"/>
      <c r="C34" s="103"/>
      <c r="D34" s="182" t="s">
        <v>39</v>
      </c>
      <c r="E34" s="104"/>
      <c r="F34" s="129">
        <f>IF([1]Act!S$3=1,[1]Act!S33,"")</f>
        <v>-12.553721652715831</v>
      </c>
      <c r="G34" s="129">
        <f>IF([1]Act!T$3=1,[1]Act!T33,"")</f>
        <v>-12.588903107206917</v>
      </c>
      <c r="H34" s="129" t="str">
        <f>IF([1]Act!U$3=1,[1]Act!U33,"")</f>
        <v/>
      </c>
      <c r="I34" s="130">
        <f t="shared" si="44"/>
        <v>-25.142624759922747</v>
      </c>
      <c r="K34" s="131">
        <f>IF([1]BP!S$3=1,[1]BP!S33,"")</f>
        <v>-14.490571491947156</v>
      </c>
      <c r="L34" s="131">
        <f>IF([1]BP!T$3=1,[1]BP!T33,"")</f>
        <v>-14.60104221753153</v>
      </c>
      <c r="M34" s="131" t="str">
        <f>IF([1]BP!U$3=1,[1]BP!U33,"")</f>
        <v/>
      </c>
      <c r="N34" s="132">
        <f t="shared" si="45"/>
        <v>-29.091613709478686</v>
      </c>
      <c r="O34" s="133">
        <f t="shared" si="36"/>
        <v>1.9368498392313249</v>
      </c>
      <c r="P34" s="133">
        <f t="shared" si="36"/>
        <v>2.0121391103246129</v>
      </c>
      <c r="Q34" s="133">
        <f t="shared" si="36"/>
        <v>0</v>
      </c>
      <c r="R34" s="134">
        <f t="shared" si="37"/>
        <v>3.9489889495559396</v>
      </c>
      <c r="S34" s="73"/>
      <c r="T34" s="131">
        <f>IF('[1]FC2+10'!S$3=1,'[1]FC2+10'!S33,"")</f>
        <v>-13.123289155730117</v>
      </c>
      <c r="U34" s="131">
        <f>IF('[1]FC2+10'!T$3=1,'[1]FC2+10'!T33,"")</f>
        <v>-14.914682200229992</v>
      </c>
      <c r="V34" s="131" t="str">
        <f>IF('[1]FC2+10'!U$3=1,'[1]FC2+10'!U33,"")</f>
        <v/>
      </c>
      <c r="W34" s="135">
        <f t="shared" si="47"/>
        <v>-28.03797135596011</v>
      </c>
      <c r="X34" s="133">
        <f t="shared" si="38"/>
        <v>0.56956750301428549</v>
      </c>
      <c r="Y34" s="133">
        <f t="shared" si="38"/>
        <v>2.3257790930230744</v>
      </c>
      <c r="Z34" s="133">
        <f t="shared" si="38"/>
        <v>0</v>
      </c>
      <c r="AA34" s="136">
        <f t="shared" si="39"/>
        <v>2.8953465960373634</v>
      </c>
      <c r="AB34" s="73"/>
      <c r="AC34" s="131">
        <f>IF([1]OL!S$3=1,[1]OL!S33,"")</f>
        <v>-12.553721652715829</v>
      </c>
      <c r="AD34" s="131">
        <f>IF([1]OL!T$3=1,[1]OL!T33,"")</f>
        <v>-19.115940716790718</v>
      </c>
      <c r="AE34" s="131" t="str">
        <f>IF([1]OL!U$3=1,[1]OL!U33,"")</f>
        <v/>
      </c>
      <c r="AF34" s="137">
        <f t="shared" si="48"/>
        <v>-31.669662369506547</v>
      </c>
      <c r="AG34" s="133">
        <f t="shared" si="40"/>
        <v>-1.7763568394002505E-15</v>
      </c>
      <c r="AH34" s="133">
        <f t="shared" si="40"/>
        <v>6.5270376095838003</v>
      </c>
      <c r="AI34" s="133">
        <f t="shared" si="40"/>
        <v>0</v>
      </c>
      <c r="AJ34" s="138">
        <f t="shared" si="40"/>
        <v>6.5270376095838003</v>
      </c>
      <c r="AK34" s="73"/>
      <c r="AL34" s="131">
        <f>IF([1]LY!S$3=1,[1]LY!S33,"")</f>
        <v>-9.8862858384668613</v>
      </c>
      <c r="AM34" s="131">
        <f>IF([1]LY!T$3=1,[1]LY!T33,"")</f>
        <v>-9.8213667512514515</v>
      </c>
      <c r="AN34" s="131" t="str">
        <f>IF([1]LY!U$3=1,[1]LY!U33,"")</f>
        <v/>
      </c>
      <c r="AO34" s="139">
        <f t="shared" si="49"/>
        <v>-19.707652589718315</v>
      </c>
      <c r="AP34" s="133">
        <f t="shared" si="41"/>
        <v>-2.6674358142489698</v>
      </c>
      <c r="AQ34" s="133">
        <f t="shared" si="41"/>
        <v>-2.7675363559554658</v>
      </c>
      <c r="AR34" s="133">
        <f t="shared" si="41"/>
        <v>0</v>
      </c>
      <c r="AS34" s="140">
        <f t="shared" si="41"/>
        <v>-5.434972170204432</v>
      </c>
      <c r="AU34" s="131">
        <f>[1]Act!L33</f>
        <v>-11.569580245090913</v>
      </c>
      <c r="AV34" s="136" t="e">
        <f t="shared" si="20"/>
        <v>#VALUE!</v>
      </c>
      <c r="AW34" s="73"/>
      <c r="AX34" s="131">
        <f>IF('[1]FC5+7'!S$3=1,'[1]FC5+7'!S33,"")</f>
        <v>-12.931243323021524</v>
      </c>
      <c r="AY34" s="131">
        <f>IF('[1]FC5+7'!T$3=1,'[1]FC5+7'!T33,"")</f>
        <v>-14.859925576946152</v>
      </c>
      <c r="AZ34" s="131" t="str">
        <f>IF('[1]FC5+7'!U$3=1,'[1]FC5+7'!U33,"")</f>
        <v/>
      </c>
      <c r="BA34" s="135">
        <f t="shared" si="50"/>
        <v>-27.791168899967676</v>
      </c>
      <c r="BB34" s="133">
        <f t="shared" si="42"/>
        <v>0.37752167030569339</v>
      </c>
      <c r="BC34" s="133">
        <f t="shared" si="42"/>
        <v>2.2710224697392345</v>
      </c>
      <c r="BD34" s="133">
        <f t="shared" si="42"/>
        <v>0</v>
      </c>
      <c r="BE34" s="136">
        <f t="shared" si="42"/>
        <v>2.6485441400449297</v>
      </c>
      <c r="BG34" s="131">
        <f t="shared" si="23"/>
        <v>-12.553721652715831</v>
      </c>
      <c r="BH34" s="131">
        <v>-10.654559356377996</v>
      </c>
      <c r="BI34" s="131">
        <v>-13.48701532247183</v>
      </c>
      <c r="BJ34" s="137">
        <f t="shared" si="51"/>
        <v>-36.695296331565658</v>
      </c>
      <c r="BK34" s="133">
        <f t="shared" si="25"/>
        <v>-1.7763568394002505E-15</v>
      </c>
      <c r="BL34" s="133">
        <f t="shared" si="25"/>
        <v>6.5270376095838003</v>
      </c>
      <c r="BM34" s="133">
        <f t="shared" si="26"/>
        <v>0</v>
      </c>
      <c r="BN34" s="138">
        <f t="shared" si="27"/>
        <v>11.552671571642911</v>
      </c>
      <c r="BP34" s="131">
        <f t="shared" si="28"/>
        <v>-12.553721652715831</v>
      </c>
      <c r="BQ34" s="131">
        <f t="shared" si="28"/>
        <v>-12.588903107206917</v>
      </c>
      <c r="BR34" s="131" t="e">
        <f>#REF!</f>
        <v>#REF!</v>
      </c>
      <c r="BS34" s="137" t="e">
        <f t="shared" si="52"/>
        <v>#REF!</v>
      </c>
      <c r="BT34" s="133">
        <f t="shared" si="30"/>
        <v>0</v>
      </c>
      <c r="BU34" s="133">
        <f t="shared" si="30"/>
        <v>6.5270376095838003</v>
      </c>
      <c r="BV34" s="133" t="e">
        <f t="shared" si="30"/>
        <v>#REF!</v>
      </c>
      <c r="BW34" s="138" t="e">
        <f t="shared" si="30"/>
        <v>#REF!</v>
      </c>
      <c r="BY34" s="138" t="e">
        <f t="shared" si="31"/>
        <v>#VALUE!</v>
      </c>
      <c r="CA34" s="135">
        <f>'[1]FC2+10'!AA33</f>
        <v>-32.945411274622167</v>
      </c>
      <c r="CC34" s="138">
        <f t="shared" si="32"/>
        <v>-7.8027865146994202</v>
      </c>
      <c r="CE34" s="131">
        <f>IF('[1]FC7+5'!S$3=1,'[1]FC7+5'!S33,"")</f>
        <v>-12.620054813911782</v>
      </c>
      <c r="CF34" s="131">
        <f>IF('[1]FC7+5'!T$3=1,'[1]FC7+5'!T33,"")</f>
        <v>-13.588403332553053</v>
      </c>
      <c r="CG34" s="131" t="str">
        <f>IF('[1]FC7+5'!U$3=1,'[1]FC7+5'!U33,"")</f>
        <v/>
      </c>
      <c r="CH34" s="141">
        <f t="shared" si="53"/>
        <v>-26.208458146464835</v>
      </c>
      <c r="CI34" s="133">
        <f t="shared" si="46"/>
        <v>6.6333161195951007E-2</v>
      </c>
      <c r="CJ34" s="133">
        <f t="shared" si="46"/>
        <v>0.99950022534613581</v>
      </c>
      <c r="CK34" s="133">
        <f t="shared" si="46"/>
        <v>0</v>
      </c>
      <c r="CL34" s="141">
        <f t="shared" si="46"/>
        <v>1.0658333865420886</v>
      </c>
      <c r="CM34" s="141">
        <f>IF('[1]FC7+5'!AC$3=1,'[1]FC7+5'!AC33,"")</f>
        <v>-39.47926050474944</v>
      </c>
      <c r="CN34" s="141">
        <f t="shared" si="35"/>
        <v>14.336635744826694</v>
      </c>
    </row>
    <row r="35" spans="2:95" outlineLevel="2">
      <c r="B35" s="103"/>
      <c r="C35" s="104" t="s">
        <v>95</v>
      </c>
      <c r="D35" s="82"/>
      <c r="E35" s="82"/>
      <c r="F35" s="183">
        <f>SUM(F29:F31,F32:F34)</f>
        <v>-49.041949306000028</v>
      </c>
      <c r="G35" s="183">
        <f>SUM(G29:G31,G32:G34)</f>
        <v>-49.401814721000008</v>
      </c>
      <c r="H35" s="183">
        <f>SUM(H29:H31,H32:H34)</f>
        <v>0</v>
      </c>
      <c r="I35" s="184">
        <f t="shared" si="44"/>
        <v>-98.443764027000043</v>
      </c>
      <c r="K35" s="185">
        <f>SUM(K29:K31,K32:K34)</f>
        <v>-63.160655266038951</v>
      </c>
      <c r="L35" s="185">
        <f>SUM(L29:L31,L32:L34)</f>
        <v>-62.005846566488664</v>
      </c>
      <c r="M35" s="185">
        <f>SUM(M29:M31,M32:M34)</f>
        <v>0</v>
      </c>
      <c r="N35" s="186">
        <f t="shared" si="45"/>
        <v>-125.16650183252762</v>
      </c>
      <c r="O35" s="185">
        <f t="shared" si="36"/>
        <v>14.118705960038923</v>
      </c>
      <c r="P35" s="185">
        <f t="shared" si="36"/>
        <v>12.604031845488656</v>
      </c>
      <c r="Q35" s="185">
        <f t="shared" si="36"/>
        <v>0</v>
      </c>
      <c r="R35" s="187">
        <f t="shared" si="37"/>
        <v>26.722737805527572</v>
      </c>
      <c r="S35" s="73"/>
      <c r="T35" s="185">
        <f>SUM(T29:T31,T32:T34)</f>
        <v>-48.394825592892971</v>
      </c>
      <c r="U35" s="185">
        <f>SUM(U29:U31,U32:U34)</f>
        <v>-51.389035732884665</v>
      </c>
      <c r="V35" s="185">
        <f>SUM(V29:V31,V32:V34)</f>
        <v>0</v>
      </c>
      <c r="W35" s="188">
        <f t="shared" si="47"/>
        <v>-99.783861325777636</v>
      </c>
      <c r="X35" s="185">
        <f t="shared" si="38"/>
        <v>-0.64712371310705663</v>
      </c>
      <c r="Y35" s="185">
        <f t="shared" si="38"/>
        <v>1.9872210118846567</v>
      </c>
      <c r="Z35" s="185">
        <f t="shared" si="38"/>
        <v>0</v>
      </c>
      <c r="AA35" s="150">
        <f t="shared" si="39"/>
        <v>1.340097298777593</v>
      </c>
      <c r="AB35" s="73"/>
      <c r="AC35" s="185">
        <f>SUM(AC29:AC31,AC32:AC34)</f>
        <v>-49.041949306000028</v>
      </c>
      <c r="AD35" s="185">
        <f>SUM(AD29:AD31,AD32:AD34)</f>
        <v>-52.373123578759149</v>
      </c>
      <c r="AE35" s="185">
        <f>SUM(AE29:AE31,AE32:AE34)</f>
        <v>0</v>
      </c>
      <c r="AF35" s="189">
        <f t="shared" si="48"/>
        <v>-101.41507288475918</v>
      </c>
      <c r="AG35" s="185">
        <f t="shared" si="40"/>
        <v>0</v>
      </c>
      <c r="AH35" s="185">
        <f t="shared" si="40"/>
        <v>2.9713088577591407</v>
      </c>
      <c r="AI35" s="185">
        <f t="shared" si="40"/>
        <v>0</v>
      </c>
      <c r="AJ35" s="190">
        <f t="shared" si="40"/>
        <v>2.9713088577591407</v>
      </c>
      <c r="AK35" s="73"/>
      <c r="AL35" s="185">
        <f>SUM(AL29:AL31,AL32:AL34)</f>
        <v>-58.933989244999985</v>
      </c>
      <c r="AM35" s="185">
        <f>SUM(AM29:AM31,AM32:AM34)</f>
        <v>-58.036515978000054</v>
      </c>
      <c r="AN35" s="185">
        <f>SUM(AN29:AN31,AN32:AN34)</f>
        <v>0</v>
      </c>
      <c r="AO35" s="191">
        <f t="shared" si="49"/>
        <v>-116.97050522300003</v>
      </c>
      <c r="AP35" s="185">
        <f t="shared" si="41"/>
        <v>9.8920399389999574</v>
      </c>
      <c r="AQ35" s="185">
        <f t="shared" si="41"/>
        <v>8.6347012570000459</v>
      </c>
      <c r="AR35" s="185">
        <f t="shared" si="41"/>
        <v>0</v>
      </c>
      <c r="AS35" s="192">
        <f t="shared" si="41"/>
        <v>18.526741195999989</v>
      </c>
      <c r="AU35" s="185">
        <f>[1]Act!L34</f>
        <v>-44.235303336000023</v>
      </c>
      <c r="AV35" s="150">
        <f t="shared" si="20"/>
        <v>44.235303336000023</v>
      </c>
      <c r="AW35" s="73"/>
      <c r="AX35" s="185">
        <f>SUM(AX29:AX31,AX32:AX34)</f>
        <v>-48.933578232847999</v>
      </c>
      <c r="AY35" s="185">
        <f>SUM(AY29:AY31,AY32:AY34)</f>
        <v>-51.755881909341184</v>
      </c>
      <c r="AZ35" s="185">
        <f>SUM(AZ29:AZ31,AZ32:AZ34)</f>
        <v>0</v>
      </c>
      <c r="BA35" s="188">
        <f t="shared" si="50"/>
        <v>-100.68946014218918</v>
      </c>
      <c r="BB35" s="185">
        <f t="shared" si="42"/>
        <v>-0.10837107315202843</v>
      </c>
      <c r="BC35" s="185">
        <f t="shared" si="42"/>
        <v>2.3540671883411761</v>
      </c>
      <c r="BD35" s="185">
        <f t="shared" si="42"/>
        <v>0</v>
      </c>
      <c r="BE35" s="150">
        <f t="shared" si="42"/>
        <v>2.2456961151891335</v>
      </c>
      <c r="BG35" s="185">
        <f t="shared" si="23"/>
        <v>-49.041949306000028</v>
      </c>
      <c r="BH35" s="185">
        <v>-49.093806901108962</v>
      </c>
      <c r="BI35" s="185">
        <v>-54.632196025921743</v>
      </c>
      <c r="BJ35" s="189">
        <f t="shared" si="51"/>
        <v>-152.76795223303071</v>
      </c>
      <c r="BK35" s="185">
        <f t="shared" si="25"/>
        <v>0</v>
      </c>
      <c r="BL35" s="185">
        <f t="shared" si="25"/>
        <v>2.9713088577591407</v>
      </c>
      <c r="BM35" s="185">
        <f t="shared" si="26"/>
        <v>-58.933989244999985</v>
      </c>
      <c r="BN35" s="190">
        <f t="shared" si="27"/>
        <v>54.324188206030669</v>
      </c>
      <c r="BP35" s="185">
        <f t="shared" si="28"/>
        <v>-49.041949306000028</v>
      </c>
      <c r="BQ35" s="185">
        <f t="shared" si="28"/>
        <v>-49.401814721000008</v>
      </c>
      <c r="BR35" s="185" t="e">
        <f>#REF!</f>
        <v>#REF!</v>
      </c>
      <c r="BS35" s="189" t="e">
        <f t="shared" si="52"/>
        <v>#REF!</v>
      </c>
      <c r="BT35" s="185">
        <f t="shared" si="30"/>
        <v>0</v>
      </c>
      <c r="BU35" s="185">
        <f t="shared" si="30"/>
        <v>2.9713088577591407</v>
      </c>
      <c r="BV35" s="185" t="e">
        <f t="shared" si="30"/>
        <v>#REF!</v>
      </c>
      <c r="BW35" s="190" t="e">
        <f t="shared" si="30"/>
        <v>#REF!</v>
      </c>
      <c r="BY35" s="190" t="e">
        <f t="shared" si="31"/>
        <v>#REF!</v>
      </c>
      <c r="CA35" s="188">
        <f>'[1]FC2+10'!AA34</f>
        <v>-137.03694752105096</v>
      </c>
      <c r="CC35" s="190">
        <f t="shared" si="32"/>
        <v>-38.593183494050919</v>
      </c>
      <c r="CE35" s="185">
        <f>SUM(CE29:CE31,CE32:CE34)</f>
        <v>-47.43138129068771</v>
      </c>
      <c r="CF35" s="185">
        <f>SUM(CF29:CF31,CF32:CF34)</f>
        <v>-48.438264708138178</v>
      </c>
      <c r="CG35" s="185">
        <f>SUM(CG29:CG31,CG32:CG34)</f>
        <v>0</v>
      </c>
      <c r="CH35" s="158">
        <f t="shared" si="53"/>
        <v>-95.869645998825888</v>
      </c>
      <c r="CI35" s="185">
        <f t="shared" si="46"/>
        <v>-1.6105680153123174</v>
      </c>
      <c r="CJ35" s="185">
        <f t="shared" si="46"/>
        <v>-0.9635500128618304</v>
      </c>
      <c r="CK35" s="185">
        <f t="shared" si="46"/>
        <v>0</v>
      </c>
      <c r="CL35" s="158">
        <f t="shared" si="46"/>
        <v>-2.5741180281741549</v>
      </c>
      <c r="CM35" s="158">
        <f>SUM(CM29:CM31,CM32:CM34)</f>
        <v>-141.33605594653241</v>
      </c>
      <c r="CN35" s="158">
        <f t="shared" si="35"/>
        <v>42.892291919532369</v>
      </c>
    </row>
    <row r="36" spans="2:95" outlineLevel="2">
      <c r="B36" s="81"/>
      <c r="C36" s="81"/>
      <c r="D36" s="193" t="s">
        <v>96</v>
      </c>
      <c r="E36" s="66"/>
      <c r="F36" s="67">
        <f>IF([1]Act!S$3=1,[1]Act!S35,"")</f>
        <v>-26.036586915000001</v>
      </c>
      <c r="G36" s="67">
        <f>IF([1]Act!T$3=1,[1]Act!T35,"")</f>
        <v>-24.840268959862069</v>
      </c>
      <c r="H36" s="67" t="str">
        <f>IF([1]Act!U$3=1,[1]Act!U35,"")</f>
        <v/>
      </c>
      <c r="I36" s="69">
        <f t="shared" si="44"/>
        <v>-50.876855874862073</v>
      </c>
      <c r="K36" s="68">
        <f>IF([1]BP!S$3=1,[1]BP!S35,"")</f>
        <v>-31.223107475573446</v>
      </c>
      <c r="L36" s="68">
        <f>IF([1]BP!T$3=1,[1]BP!T35,"")</f>
        <v>-25.706738071110678</v>
      </c>
      <c r="M36" s="68" t="str">
        <f>IF([1]BP!U$3=1,[1]BP!U35,"")</f>
        <v/>
      </c>
      <c r="N36" s="70">
        <f t="shared" si="45"/>
        <v>-56.92984554668412</v>
      </c>
      <c r="O36" s="71">
        <f t="shared" si="36"/>
        <v>5.1865205605734452</v>
      </c>
      <c r="P36" s="71">
        <f t="shared" si="36"/>
        <v>0.86646911124860893</v>
      </c>
      <c r="Q36" s="71">
        <f t="shared" si="36"/>
        <v>0</v>
      </c>
      <c r="R36" s="72">
        <f t="shared" si="37"/>
        <v>6.0529896718220471</v>
      </c>
      <c r="S36" s="73"/>
      <c r="T36" s="68">
        <f>IF('[1]FC2+10'!S$3=1,'[1]FC2+10'!S35,"")</f>
        <v>-26.875596955986218</v>
      </c>
      <c r="U36" s="68">
        <f>IF('[1]FC2+10'!T$3=1,'[1]FC2+10'!T35,"")</f>
        <v>-22.979419342522469</v>
      </c>
      <c r="V36" s="68" t="str">
        <f>IF('[1]FC2+10'!U$3=1,'[1]FC2+10'!U35,"")</f>
        <v/>
      </c>
      <c r="W36" s="74">
        <f t="shared" si="47"/>
        <v>-49.855016298508687</v>
      </c>
      <c r="X36" s="71">
        <f t="shared" si="38"/>
        <v>0.83901004098621712</v>
      </c>
      <c r="Y36" s="71">
        <f t="shared" si="38"/>
        <v>-1.8608496173395999</v>
      </c>
      <c r="Z36" s="71">
        <f t="shared" si="38"/>
        <v>0</v>
      </c>
      <c r="AA36" s="75">
        <f t="shared" si="39"/>
        <v>-1.0218395763533863</v>
      </c>
      <c r="AB36" s="73"/>
      <c r="AC36" s="68">
        <f>IF([1]OL!S$3=1,[1]OL!S35,"")</f>
        <v>-26.036586915000001</v>
      </c>
      <c r="AD36" s="68">
        <f>IF([1]OL!T$3=1,[1]OL!T35,"")</f>
        <v>-29.103860806038227</v>
      </c>
      <c r="AE36" s="68" t="str">
        <f>IF([1]OL!U$3=1,[1]OL!U35,"")</f>
        <v/>
      </c>
      <c r="AF36" s="76">
        <f t="shared" si="48"/>
        <v>-55.140447721038228</v>
      </c>
      <c r="AG36" s="71">
        <f t="shared" si="40"/>
        <v>0</v>
      </c>
      <c r="AH36" s="71">
        <f t="shared" si="40"/>
        <v>4.2635918461761584</v>
      </c>
      <c r="AI36" s="71">
        <f t="shared" si="40"/>
        <v>0</v>
      </c>
      <c r="AJ36" s="77">
        <f t="shared" si="40"/>
        <v>4.2635918461761548</v>
      </c>
      <c r="AK36" s="73"/>
      <c r="AL36" s="68">
        <f>IF([1]LY!S$3=1,[1]LY!S35,"")</f>
        <v>-29.037719057999997</v>
      </c>
      <c r="AM36" s="68">
        <f>IF([1]LY!T$3=1,[1]LY!T35,"")</f>
        <v>-28.215209445999999</v>
      </c>
      <c r="AN36" s="68" t="str">
        <f>IF([1]LY!U$3=1,[1]LY!U35,"")</f>
        <v/>
      </c>
      <c r="AO36" s="78">
        <f t="shared" si="49"/>
        <v>-57.252928503999996</v>
      </c>
      <c r="AP36" s="71">
        <f t="shared" si="41"/>
        <v>3.001132142999996</v>
      </c>
      <c r="AQ36" s="71">
        <f t="shared" si="41"/>
        <v>3.3749404861379304</v>
      </c>
      <c r="AR36" s="71">
        <f t="shared" si="41"/>
        <v>0</v>
      </c>
      <c r="AS36" s="79">
        <f t="shared" si="41"/>
        <v>6.3760726291379228</v>
      </c>
      <c r="AU36" s="68">
        <f>[1]Act!L35</f>
        <v>-23.951743748909092</v>
      </c>
      <c r="AV36" s="75" t="e">
        <f t="shared" si="20"/>
        <v>#VALUE!</v>
      </c>
      <c r="AW36" s="73"/>
      <c r="AX36" s="68">
        <f>IF('[1]FC5+7'!S$3=1,'[1]FC5+7'!S35,"")</f>
        <v>-26.743406856941725</v>
      </c>
      <c r="AY36" s="68">
        <f>IF('[1]FC5+7'!T$3=1,'[1]FC5+7'!T35,"")</f>
        <v>-26.007837216757952</v>
      </c>
      <c r="AZ36" s="68" t="str">
        <f>IF('[1]FC5+7'!U$3=1,'[1]FC5+7'!U35,"")</f>
        <v/>
      </c>
      <c r="BA36" s="74">
        <f t="shared" si="50"/>
        <v>-52.751244073699681</v>
      </c>
      <c r="BB36" s="71">
        <f>IFERROR(F36-AX36,0)</f>
        <v>0.70681994194172404</v>
      </c>
      <c r="BC36" s="71">
        <f>IFERROR(G36-AY36,0)</f>
        <v>1.1675682568958834</v>
      </c>
      <c r="BD36" s="71">
        <f t="shared" si="42"/>
        <v>0</v>
      </c>
      <c r="BE36" s="75">
        <f t="shared" si="42"/>
        <v>1.8743881988376074</v>
      </c>
      <c r="BG36" s="68">
        <f t="shared" si="23"/>
        <v>-26.036586915000001</v>
      </c>
      <c r="BH36" s="68">
        <v>-27.7142098014304</v>
      </c>
      <c r="BI36" s="68">
        <v>-34.438520955804478</v>
      </c>
      <c r="BJ36" s="76">
        <f t="shared" si="51"/>
        <v>-88.189317672234878</v>
      </c>
      <c r="BK36" s="71">
        <f t="shared" si="25"/>
        <v>0</v>
      </c>
      <c r="BL36" s="71">
        <f t="shared" si="25"/>
        <v>4.2635918461761584</v>
      </c>
      <c r="BM36" s="71">
        <f t="shared" si="26"/>
        <v>0</v>
      </c>
      <c r="BN36" s="77">
        <f t="shared" si="27"/>
        <v>37.312461797372805</v>
      </c>
      <c r="BP36" s="68">
        <f t="shared" si="28"/>
        <v>-26.036586915000001</v>
      </c>
      <c r="BQ36" s="68">
        <f t="shared" si="28"/>
        <v>-24.840268959862069</v>
      </c>
      <c r="BR36" s="68" t="e">
        <f>#REF!</f>
        <v>#REF!</v>
      </c>
      <c r="BS36" s="76" t="e">
        <f t="shared" si="52"/>
        <v>#REF!</v>
      </c>
      <c r="BT36" s="71">
        <f t="shared" si="30"/>
        <v>0</v>
      </c>
      <c r="BU36" s="71">
        <f t="shared" si="30"/>
        <v>4.2635918461761584</v>
      </c>
      <c r="BV36" s="71" t="e">
        <f t="shared" si="30"/>
        <v>#REF!</v>
      </c>
      <c r="BW36" s="77" t="e">
        <f t="shared" si="30"/>
        <v>#REF!</v>
      </c>
      <c r="BY36" s="77" t="e">
        <f t="shared" si="31"/>
        <v>#VALUE!</v>
      </c>
      <c r="CA36" s="74">
        <f>'[1]FC2+10'!AA35</f>
        <v>-85.602170585890121</v>
      </c>
      <c r="CC36" s="77">
        <f t="shared" si="32"/>
        <v>-34.725314711028048</v>
      </c>
      <c r="CE36" s="68">
        <f>IF('[1]FC7+5'!S$3=1,'[1]FC7+5'!S35,"")</f>
        <v>-27.921033840167748</v>
      </c>
      <c r="CF36" s="68">
        <f>IF('[1]FC7+5'!T$3=1,'[1]FC7+5'!T35,"")</f>
        <v>-27.974090143205057</v>
      </c>
      <c r="CG36" s="68" t="str">
        <f>IF('[1]FC7+5'!U$3=1,'[1]FC7+5'!U35,"")</f>
        <v/>
      </c>
      <c r="CH36" s="80">
        <f t="shared" si="53"/>
        <v>-55.895123983372805</v>
      </c>
      <c r="CI36" s="71">
        <f t="shared" si="46"/>
        <v>1.8844469251677474</v>
      </c>
      <c r="CJ36" s="71">
        <f t="shared" si="46"/>
        <v>3.1338211833429881</v>
      </c>
      <c r="CK36" s="71">
        <f t="shared" si="46"/>
        <v>0</v>
      </c>
      <c r="CL36" s="80">
        <f t="shared" si="46"/>
        <v>5.0182681085107319</v>
      </c>
      <c r="CM36" s="80">
        <f>IF('[1]FC7+5'!AC$3=1,'[1]FC7+5'!AC35,"")</f>
        <v>-77.35934669377572</v>
      </c>
      <c r="CN36" s="80">
        <f t="shared" si="35"/>
        <v>26.482490818913647</v>
      </c>
    </row>
    <row r="37" spans="2:95" outlineLevel="2">
      <c r="B37" s="81"/>
      <c r="C37" s="81"/>
      <c r="D37" s="194" t="s">
        <v>97</v>
      </c>
      <c r="E37" s="82"/>
      <c r="F37" s="83">
        <f>IF([1]Act!S$3=1,[1]Act!S36,"")</f>
        <v>0</v>
      </c>
      <c r="G37" s="83">
        <f>IF([1]Act!T$3=1,[1]Act!T36,"")</f>
        <v>0</v>
      </c>
      <c r="H37" s="83" t="str">
        <f>IF([1]Act!U$3=1,[1]Act!U36,"")</f>
        <v/>
      </c>
      <c r="I37" s="85">
        <f t="shared" si="44"/>
        <v>0</v>
      </c>
      <c r="K37" s="84">
        <f>IF([1]BP!S$3=1,[1]BP!S36,"")</f>
        <v>0</v>
      </c>
      <c r="L37" s="84">
        <f>IF([1]BP!T$3=1,[1]BP!T36,"")</f>
        <v>0</v>
      </c>
      <c r="M37" s="84" t="str">
        <f>IF([1]BP!U$3=1,[1]BP!U36,"")</f>
        <v/>
      </c>
      <c r="N37" s="86">
        <f t="shared" si="45"/>
        <v>0</v>
      </c>
      <c r="O37" s="87">
        <f t="shared" si="36"/>
        <v>0</v>
      </c>
      <c r="P37" s="87">
        <f t="shared" si="36"/>
        <v>0</v>
      </c>
      <c r="Q37" s="87">
        <f t="shared" si="36"/>
        <v>0</v>
      </c>
      <c r="R37" s="88">
        <f t="shared" si="37"/>
        <v>0</v>
      </c>
      <c r="S37" s="73"/>
      <c r="T37" s="84">
        <f>IF('[1]FC2+10'!S$3=1,'[1]FC2+10'!S36,"")</f>
        <v>0</v>
      </c>
      <c r="U37" s="84">
        <f>IF('[1]FC2+10'!T$3=1,'[1]FC2+10'!T36,"")</f>
        <v>0</v>
      </c>
      <c r="V37" s="84" t="str">
        <f>IF('[1]FC2+10'!U$3=1,'[1]FC2+10'!U36,"")</f>
        <v/>
      </c>
      <c r="W37" s="89">
        <f t="shared" si="47"/>
        <v>0</v>
      </c>
      <c r="X37" s="87">
        <f t="shared" si="38"/>
        <v>0</v>
      </c>
      <c r="Y37" s="87">
        <f t="shared" si="38"/>
        <v>0</v>
      </c>
      <c r="Z37" s="87">
        <f t="shared" si="38"/>
        <v>0</v>
      </c>
      <c r="AA37" s="90">
        <f t="shared" si="39"/>
        <v>0</v>
      </c>
      <c r="AB37" s="73"/>
      <c r="AC37" s="84">
        <f>IF([1]OL!S$3=1,[1]OL!S36,"")</f>
        <v>0</v>
      </c>
      <c r="AD37" s="84">
        <f>IF([1]OL!T$3=1,[1]OL!T36,"")</f>
        <v>0</v>
      </c>
      <c r="AE37" s="84" t="str">
        <f>IF([1]OL!U$3=1,[1]OL!U36,"")</f>
        <v/>
      </c>
      <c r="AF37" s="91">
        <f t="shared" si="48"/>
        <v>0</v>
      </c>
      <c r="AG37" s="87">
        <f t="shared" si="40"/>
        <v>0</v>
      </c>
      <c r="AH37" s="87">
        <f t="shared" si="40"/>
        <v>0</v>
      </c>
      <c r="AI37" s="87">
        <f t="shared" si="40"/>
        <v>0</v>
      </c>
      <c r="AJ37" s="92">
        <f t="shared" si="40"/>
        <v>0</v>
      </c>
      <c r="AK37" s="73"/>
      <c r="AL37" s="84">
        <f>IF([1]LY!S$3=1,[1]LY!S36,"")</f>
        <v>0</v>
      </c>
      <c r="AM37" s="84">
        <f>IF([1]LY!T$3=1,[1]LY!T36,"")</f>
        <v>0</v>
      </c>
      <c r="AN37" s="84" t="str">
        <f>IF([1]LY!U$3=1,[1]LY!U36,"")</f>
        <v/>
      </c>
      <c r="AO37" s="93">
        <f t="shared" si="49"/>
        <v>0</v>
      </c>
      <c r="AP37" s="87">
        <f t="shared" si="41"/>
        <v>0</v>
      </c>
      <c r="AQ37" s="87">
        <f t="shared" si="41"/>
        <v>0</v>
      </c>
      <c r="AR37" s="87">
        <f t="shared" si="41"/>
        <v>0</v>
      </c>
      <c r="AS37" s="94">
        <f t="shared" si="41"/>
        <v>0</v>
      </c>
      <c r="AU37" s="84">
        <f>[1]Act!L36</f>
        <v>0</v>
      </c>
      <c r="AV37" s="90" t="e">
        <f t="shared" si="20"/>
        <v>#VALUE!</v>
      </c>
      <c r="AW37" s="73"/>
      <c r="AX37" s="84">
        <f>IF('[1]FC5+7'!S$3=1,'[1]FC5+7'!S36,"")</f>
        <v>0</v>
      </c>
      <c r="AY37" s="84">
        <f>IF('[1]FC5+7'!T$3=1,'[1]FC5+7'!T36,"")</f>
        <v>0</v>
      </c>
      <c r="AZ37" s="84" t="str">
        <f>IF('[1]FC5+7'!U$3=1,'[1]FC5+7'!U36,"")</f>
        <v/>
      </c>
      <c r="BA37" s="89">
        <f t="shared" si="50"/>
        <v>0</v>
      </c>
      <c r="BB37" s="87">
        <f t="shared" si="42"/>
        <v>0</v>
      </c>
      <c r="BC37" s="87">
        <f t="shared" si="42"/>
        <v>0</v>
      </c>
      <c r="BD37" s="87">
        <f t="shared" si="42"/>
        <v>0</v>
      </c>
      <c r="BE37" s="90">
        <f t="shared" si="42"/>
        <v>0</v>
      </c>
      <c r="BG37" s="84">
        <f t="shared" si="23"/>
        <v>0</v>
      </c>
      <c r="BH37" s="84">
        <v>0</v>
      </c>
      <c r="BI37" s="84">
        <v>0</v>
      </c>
      <c r="BJ37" s="91">
        <f t="shared" si="51"/>
        <v>0</v>
      </c>
      <c r="BK37" s="87">
        <f t="shared" si="25"/>
        <v>0</v>
      </c>
      <c r="BL37" s="87">
        <f t="shared" si="25"/>
        <v>0</v>
      </c>
      <c r="BM37" s="87">
        <f t="shared" si="26"/>
        <v>0</v>
      </c>
      <c r="BN37" s="92">
        <f t="shared" si="27"/>
        <v>0</v>
      </c>
      <c r="BP37" s="84">
        <f t="shared" si="28"/>
        <v>0</v>
      </c>
      <c r="BQ37" s="84">
        <f t="shared" si="28"/>
        <v>0</v>
      </c>
      <c r="BR37" s="84" t="e">
        <f>#REF!</f>
        <v>#REF!</v>
      </c>
      <c r="BS37" s="91" t="e">
        <f t="shared" si="52"/>
        <v>#REF!</v>
      </c>
      <c r="BT37" s="87">
        <f t="shared" si="30"/>
        <v>0</v>
      </c>
      <c r="BU37" s="87">
        <f t="shared" si="30"/>
        <v>0</v>
      </c>
      <c r="BV37" s="87" t="e">
        <f t="shared" si="30"/>
        <v>#REF!</v>
      </c>
      <c r="BW37" s="92" t="e">
        <f t="shared" si="30"/>
        <v>#REF!</v>
      </c>
      <c r="BY37" s="92" t="e">
        <f t="shared" si="31"/>
        <v>#VALUE!</v>
      </c>
      <c r="CA37" s="89">
        <f>'[1]FC2+10'!AA36</f>
        <v>0</v>
      </c>
      <c r="CC37" s="92">
        <f t="shared" si="32"/>
        <v>0</v>
      </c>
      <c r="CE37" s="84">
        <f>IF('[1]FC7+5'!S$3=1,'[1]FC7+5'!S36,"")</f>
        <v>0</v>
      </c>
      <c r="CF37" s="84">
        <f>IF('[1]FC7+5'!T$3=1,'[1]FC7+5'!T36,"")</f>
        <v>0</v>
      </c>
      <c r="CG37" s="84" t="str">
        <f>IF('[1]FC7+5'!U$3=1,'[1]FC7+5'!U36,"")</f>
        <v/>
      </c>
      <c r="CH37" s="95">
        <f t="shared" si="53"/>
        <v>0</v>
      </c>
      <c r="CI37" s="87">
        <f t="shared" si="46"/>
        <v>0</v>
      </c>
      <c r="CJ37" s="87">
        <f t="shared" si="46"/>
        <v>0</v>
      </c>
      <c r="CK37" s="87">
        <f t="shared" si="46"/>
        <v>0</v>
      </c>
      <c r="CL37" s="95">
        <f t="shared" si="46"/>
        <v>0</v>
      </c>
      <c r="CM37" s="95">
        <f>IF('[1]FC7+5'!AC$3=1,'[1]FC7+5'!AC36,"")</f>
        <v>0</v>
      </c>
      <c r="CN37" s="95">
        <f t="shared" si="35"/>
        <v>0</v>
      </c>
    </row>
    <row r="38" spans="2:95" s="73" customFormat="1" outlineLevel="2">
      <c r="B38" s="195"/>
      <c r="C38" s="196"/>
      <c r="D38" s="197" t="s">
        <v>98</v>
      </c>
      <c r="E38" s="198"/>
      <c r="F38" s="199">
        <f>IF([1]Act!S$3=1,[1]Act!S37,"")</f>
        <v>-5.7556091849999973</v>
      </c>
      <c r="G38" s="199">
        <f>IF([1]Act!T$3=1,[1]Act!T37,"")</f>
        <v>-6.3003960401379331</v>
      </c>
      <c r="H38" s="199" t="str">
        <f>IF([1]Act!U$3=1,[1]Act!U37,"")</f>
        <v/>
      </c>
      <c r="I38" s="200">
        <f t="shared" si="44"/>
        <v>-12.05600522513793</v>
      </c>
      <c r="J38" s="5"/>
      <c r="K38" s="201">
        <f>IF([1]BP!S$3=1,[1]BP!S37,"")</f>
        <v>-5.3408660312446408</v>
      </c>
      <c r="L38" s="201">
        <f>IF([1]BP!T$3=1,[1]BP!T37,"")</f>
        <v>-4.848834955707364</v>
      </c>
      <c r="M38" s="201" t="str">
        <f>IF([1]BP!U$3=1,[1]BP!U37,"")</f>
        <v/>
      </c>
      <c r="N38" s="202">
        <f t="shared" si="45"/>
        <v>-10.189700986952005</v>
      </c>
      <c r="O38" s="203">
        <f t="shared" si="36"/>
        <v>-0.41474315375535653</v>
      </c>
      <c r="P38" s="203">
        <f t="shared" si="36"/>
        <v>-1.4515610844305691</v>
      </c>
      <c r="Q38" s="203">
        <f t="shared" si="36"/>
        <v>0</v>
      </c>
      <c r="R38" s="204">
        <f t="shared" si="37"/>
        <v>-1.8663042381859256</v>
      </c>
      <c r="S38" s="5"/>
      <c r="T38" s="201">
        <f>IF('[1]FC2+10'!S$3=1,'[1]FC2+10'!S37,"")</f>
        <v>-7.0793460150137477</v>
      </c>
      <c r="U38" s="201">
        <f>IF('[1]FC2+10'!T$3=1,'[1]FC2+10'!T37,"")</f>
        <v>-6.7743589784775331</v>
      </c>
      <c r="V38" s="201" t="str">
        <f>IF('[1]FC2+10'!U$3=1,'[1]FC2+10'!U37,"")</f>
        <v/>
      </c>
      <c r="W38" s="205">
        <f t="shared" si="47"/>
        <v>-13.853704993491281</v>
      </c>
      <c r="X38" s="203">
        <f t="shared" si="38"/>
        <v>1.3237368300137504</v>
      </c>
      <c r="Y38" s="203">
        <f t="shared" si="38"/>
        <v>0.47396293833960002</v>
      </c>
      <c r="Z38" s="203">
        <f t="shared" si="38"/>
        <v>0</v>
      </c>
      <c r="AA38" s="206">
        <f t="shared" si="39"/>
        <v>1.7976997683533504</v>
      </c>
      <c r="AB38" s="5"/>
      <c r="AC38" s="201">
        <f>IF([1]OL!S$3=1,[1]OL!S37,"")</f>
        <v>-5.7556091849999937</v>
      </c>
      <c r="AD38" s="201">
        <f>IF([1]OL!T$3=1,[1]OL!T37,"")</f>
        <v>-5.8986338421293887</v>
      </c>
      <c r="AE38" s="201" t="str">
        <f>IF([1]OL!U$3=1,[1]OL!U37,"")</f>
        <v/>
      </c>
      <c r="AF38" s="207">
        <f t="shared" si="48"/>
        <v>-11.654243027129382</v>
      </c>
      <c r="AG38" s="203">
        <f t="shared" si="40"/>
        <v>-3.5527136788005009E-15</v>
      </c>
      <c r="AH38" s="203">
        <f t="shared" si="40"/>
        <v>-0.4017621980085444</v>
      </c>
      <c r="AI38" s="203">
        <f t="shared" si="40"/>
        <v>0</v>
      </c>
      <c r="AJ38" s="208">
        <f t="shared" si="40"/>
        <v>-0.40176219800854795</v>
      </c>
      <c r="AK38" s="5"/>
      <c r="AL38" s="201">
        <f>IF([1]LY!S$3=1,[1]LY!S37,"")</f>
        <v>-4.3154530420000121</v>
      </c>
      <c r="AM38" s="201">
        <f>IF([1]LY!T$3=1,[1]LY!T37,"")</f>
        <v>-3.4837217540000189</v>
      </c>
      <c r="AN38" s="201" t="str">
        <f>IF([1]LY!U$3=1,[1]LY!U37,"")</f>
        <v/>
      </c>
      <c r="AO38" s="209">
        <f t="shared" si="49"/>
        <v>-7.7991747960000311</v>
      </c>
      <c r="AP38" s="203">
        <f t="shared" si="41"/>
        <v>-1.4401561429999852</v>
      </c>
      <c r="AQ38" s="203">
        <f t="shared" si="41"/>
        <v>-2.8166742861379142</v>
      </c>
      <c r="AR38" s="203">
        <f t="shared" si="41"/>
        <v>0</v>
      </c>
      <c r="AS38" s="210">
        <f t="shared" si="41"/>
        <v>-4.2568304291378993</v>
      </c>
      <c r="AT38" s="5"/>
      <c r="AU38" s="201">
        <f>[1]Act!L37</f>
        <v>-4.8106854510909081</v>
      </c>
      <c r="AV38" s="206" t="e">
        <f t="shared" si="20"/>
        <v>#VALUE!</v>
      </c>
      <c r="AW38" s="5"/>
      <c r="AX38" s="201">
        <f>IF('[1]FC5+7'!S$3=1,'[1]FC5+7'!S37,"")</f>
        <v>-6.6758651050582003</v>
      </c>
      <c r="AY38" s="201">
        <f>IF('[1]FC5+7'!T$3=1,'[1]FC5+7'!T37,"")</f>
        <v>-6.2196740392420473</v>
      </c>
      <c r="AZ38" s="201" t="str">
        <f>IF('[1]FC5+7'!U$3=1,'[1]FC5+7'!U37,"")</f>
        <v/>
      </c>
      <c r="BA38" s="205">
        <f t="shared" si="50"/>
        <v>-12.895539144300248</v>
      </c>
      <c r="BB38" s="203">
        <f t="shared" si="42"/>
        <v>0.920255920058203</v>
      </c>
      <c r="BC38" s="203">
        <f t="shared" si="42"/>
        <v>-8.072200089588577E-2</v>
      </c>
      <c r="BD38" s="203">
        <f t="shared" si="42"/>
        <v>0</v>
      </c>
      <c r="BE38" s="206">
        <f t="shared" si="42"/>
        <v>0.83953391916231723</v>
      </c>
      <c r="BG38" s="131">
        <f t="shared" si="23"/>
        <v>-5.7556091849999973</v>
      </c>
      <c r="BH38" s="131">
        <v>-3.9114144561328361</v>
      </c>
      <c r="BI38" s="131">
        <v>-7.7889688868438203</v>
      </c>
      <c r="BJ38" s="137">
        <f t="shared" si="51"/>
        <v>-17.455992527976655</v>
      </c>
      <c r="BK38" s="133">
        <f t="shared" si="25"/>
        <v>-3.5527136788005009E-15</v>
      </c>
      <c r="BL38" s="133">
        <f t="shared" si="25"/>
        <v>-0.4017621980085444</v>
      </c>
      <c r="BM38" s="133">
        <f t="shared" si="26"/>
        <v>0</v>
      </c>
      <c r="BN38" s="138">
        <f t="shared" si="27"/>
        <v>5.3999873028387242</v>
      </c>
      <c r="BP38" s="131">
        <f t="shared" si="28"/>
        <v>-5.7556091849999973</v>
      </c>
      <c r="BQ38" s="131">
        <f t="shared" si="28"/>
        <v>-6.3003960401379331</v>
      </c>
      <c r="BR38" s="131" t="e">
        <f>#REF!</f>
        <v>#REF!</v>
      </c>
      <c r="BS38" s="137" t="e">
        <f t="shared" si="52"/>
        <v>#REF!</v>
      </c>
      <c r="BT38" s="133">
        <f t="shared" si="30"/>
        <v>0</v>
      </c>
      <c r="BU38" s="133">
        <f t="shared" si="30"/>
        <v>-0.4017621980085444</v>
      </c>
      <c r="BV38" s="133" t="e">
        <f t="shared" si="30"/>
        <v>#REF!</v>
      </c>
      <c r="BW38" s="138" t="e">
        <f t="shared" si="30"/>
        <v>#REF!</v>
      </c>
      <c r="BY38" s="138" t="e">
        <f t="shared" si="31"/>
        <v>#VALUE!</v>
      </c>
      <c r="CA38" s="135">
        <f>'[1]FC2+10'!AA37</f>
        <v>-22.866055164109774</v>
      </c>
      <c r="CC38" s="138">
        <f t="shared" si="32"/>
        <v>-10.810049938971844</v>
      </c>
      <c r="CE38" s="201">
        <f>IF('[1]FC7+5'!S$3=1,'[1]FC7+5'!S37,"")</f>
        <v>-6.3429018225277893</v>
      </c>
      <c r="CF38" s="201">
        <f>IF('[1]FC7+5'!T$3=1,'[1]FC7+5'!T37,"")</f>
        <v>-5.9238731464888978</v>
      </c>
      <c r="CG38" s="201" t="str">
        <f>IF('[1]FC7+5'!U$3=1,'[1]FC7+5'!U37,"")</f>
        <v/>
      </c>
      <c r="CH38" s="211">
        <f t="shared" si="53"/>
        <v>-12.266774969016687</v>
      </c>
      <c r="CI38" s="203">
        <f t="shared" si="46"/>
        <v>0.58729263752779204</v>
      </c>
      <c r="CJ38" s="203">
        <f t="shared" si="46"/>
        <v>-0.37652289364903524</v>
      </c>
      <c r="CK38" s="203">
        <f t="shared" si="46"/>
        <v>0</v>
      </c>
      <c r="CL38" s="211">
        <f t="shared" si="46"/>
        <v>0.2107697438787568</v>
      </c>
      <c r="CM38" s="141">
        <f>IF('[1]FC7+5'!AC$3=1,'[1]FC7+5'!AC37,"")</f>
        <v>-21.949220579307489</v>
      </c>
      <c r="CN38" s="141">
        <f t="shared" si="35"/>
        <v>9.8932153541695591</v>
      </c>
      <c r="CQ38" s="1"/>
    </row>
    <row r="39" spans="2:95" outlineLevel="2">
      <c r="B39" s="103"/>
      <c r="C39" s="104" t="s">
        <v>99</v>
      </c>
      <c r="D39" s="82"/>
      <c r="E39" s="82"/>
      <c r="F39" s="212">
        <f>SUM(F36:F38)</f>
        <v>-31.792196099999998</v>
      </c>
      <c r="G39" s="212">
        <f>SUM(G36:G38)</f>
        <v>-31.140665000000002</v>
      </c>
      <c r="H39" s="212">
        <f>SUM(H36:H38)</f>
        <v>0</v>
      </c>
      <c r="I39" s="213">
        <f t="shared" si="44"/>
        <v>-62.932861099999997</v>
      </c>
      <c r="K39" s="185">
        <f>SUM(K36:K38)</f>
        <v>-36.563973506818087</v>
      </c>
      <c r="L39" s="185">
        <f>SUM(L36:L38)</f>
        <v>-30.555573026818042</v>
      </c>
      <c r="M39" s="185">
        <f>SUM(M36:M38)</f>
        <v>0</v>
      </c>
      <c r="N39" s="186">
        <f t="shared" si="45"/>
        <v>-67.119546533636125</v>
      </c>
      <c r="O39" s="214">
        <f t="shared" si="36"/>
        <v>4.7717774068180887</v>
      </c>
      <c r="P39" s="214">
        <f t="shared" si="36"/>
        <v>-0.58509197318196016</v>
      </c>
      <c r="Q39" s="214">
        <f t="shared" si="36"/>
        <v>0</v>
      </c>
      <c r="R39" s="187">
        <f t="shared" si="37"/>
        <v>4.1866854336361286</v>
      </c>
      <c r="S39" s="73"/>
      <c r="T39" s="185">
        <f>SUM(T36:T38)</f>
        <v>-33.954942970999966</v>
      </c>
      <c r="U39" s="185">
        <f>SUM(U36:U38)</f>
        <v>-29.753778321000002</v>
      </c>
      <c r="V39" s="185">
        <f>SUM(V36:V38)</f>
        <v>0</v>
      </c>
      <c r="W39" s="188">
        <f t="shared" si="47"/>
        <v>-63.708721291999964</v>
      </c>
      <c r="X39" s="214">
        <f t="shared" si="38"/>
        <v>2.1627468709999675</v>
      </c>
      <c r="Y39" s="214">
        <f t="shared" si="38"/>
        <v>-1.3868866789999998</v>
      </c>
      <c r="Z39" s="214">
        <f t="shared" si="38"/>
        <v>0</v>
      </c>
      <c r="AA39" s="215">
        <f t="shared" si="39"/>
        <v>0.7758601919999677</v>
      </c>
      <c r="AB39" s="73"/>
      <c r="AC39" s="185">
        <f>SUM(AC36:AC38)</f>
        <v>-31.792196099999995</v>
      </c>
      <c r="AD39" s="185">
        <f>SUM(AD36:AD38)</f>
        <v>-35.002494648167612</v>
      </c>
      <c r="AE39" s="185">
        <f>SUM(AE36:AE38)</f>
        <v>0</v>
      </c>
      <c r="AF39" s="189">
        <f t="shared" si="48"/>
        <v>-66.794690748167611</v>
      </c>
      <c r="AG39" s="214">
        <f t="shared" si="40"/>
        <v>-3.5527136788005009E-15</v>
      </c>
      <c r="AH39" s="214">
        <f t="shared" si="40"/>
        <v>3.8618296481676104</v>
      </c>
      <c r="AI39" s="214">
        <f t="shared" si="40"/>
        <v>0</v>
      </c>
      <c r="AJ39" s="190">
        <f t="shared" si="40"/>
        <v>3.861829648167614</v>
      </c>
      <c r="AK39" s="73"/>
      <c r="AL39" s="185">
        <f>SUM(AL36:AL38)</f>
        <v>-33.353172100000009</v>
      </c>
      <c r="AM39" s="185">
        <f>SUM(AM36:AM38)</f>
        <v>-31.698931200000018</v>
      </c>
      <c r="AN39" s="185">
        <f>SUM(AN36:AN38)</f>
        <v>0</v>
      </c>
      <c r="AO39" s="191">
        <f t="shared" si="49"/>
        <v>-65.052103300000027</v>
      </c>
      <c r="AP39" s="214">
        <f t="shared" si="41"/>
        <v>1.5609760000000108</v>
      </c>
      <c r="AQ39" s="214">
        <f t="shared" si="41"/>
        <v>0.55826620000001625</v>
      </c>
      <c r="AR39" s="214">
        <f t="shared" si="41"/>
        <v>0</v>
      </c>
      <c r="AS39" s="192">
        <f t="shared" si="41"/>
        <v>2.1192422000000306</v>
      </c>
      <c r="AU39" s="185">
        <f>[1]Act!L38</f>
        <v>-28.7624292</v>
      </c>
      <c r="AV39" s="216">
        <f t="shared" si="20"/>
        <v>28.7624292</v>
      </c>
      <c r="AW39" s="73"/>
      <c r="AX39" s="185">
        <f>SUM(AX36:AX38)</f>
        <v>-33.419271961999925</v>
      </c>
      <c r="AY39" s="185">
        <f>SUM(AY36:AY38)</f>
        <v>-32.227511256</v>
      </c>
      <c r="AZ39" s="185">
        <f>SUM(AZ36:AZ38)</f>
        <v>0</v>
      </c>
      <c r="BA39" s="188">
        <f t="shared" si="50"/>
        <v>-65.646783217999925</v>
      </c>
      <c r="BB39" s="214">
        <f t="shared" si="42"/>
        <v>1.627075861999927</v>
      </c>
      <c r="BC39" s="214">
        <f t="shared" si="42"/>
        <v>1.0868462559999976</v>
      </c>
      <c r="BD39" s="214">
        <f t="shared" si="42"/>
        <v>0</v>
      </c>
      <c r="BE39" s="150">
        <f t="shared" si="42"/>
        <v>2.7139221179999282</v>
      </c>
      <c r="BG39" s="185">
        <f t="shared" si="23"/>
        <v>-31.792196099999998</v>
      </c>
      <c r="BH39" s="185">
        <v>-31.625624257563235</v>
      </c>
      <c r="BI39" s="185">
        <v>-42.227489842648296</v>
      </c>
      <c r="BJ39" s="189">
        <f t="shared" si="51"/>
        <v>-105.64531020021153</v>
      </c>
      <c r="BK39" s="214">
        <f t="shared" si="25"/>
        <v>-3.5527136788005009E-15</v>
      </c>
      <c r="BL39" s="214">
        <f t="shared" si="25"/>
        <v>3.8618296481676104</v>
      </c>
      <c r="BM39" s="214">
        <f t="shared" si="26"/>
        <v>-33.353172100000009</v>
      </c>
      <c r="BN39" s="190">
        <f t="shared" si="27"/>
        <v>42.712449100211529</v>
      </c>
      <c r="BP39" s="185">
        <f t="shared" si="28"/>
        <v>-31.792196099999998</v>
      </c>
      <c r="BQ39" s="185">
        <f t="shared" si="28"/>
        <v>-31.140665000000002</v>
      </c>
      <c r="BR39" s="185" t="e">
        <f>#REF!</f>
        <v>#REF!</v>
      </c>
      <c r="BS39" s="189" t="e">
        <f t="shared" si="52"/>
        <v>#REF!</v>
      </c>
      <c r="BT39" s="214">
        <f t="shared" si="30"/>
        <v>0</v>
      </c>
      <c r="BU39" s="214">
        <f t="shared" si="30"/>
        <v>3.8618296481676104</v>
      </c>
      <c r="BV39" s="214" t="e">
        <f t="shared" si="30"/>
        <v>#REF!</v>
      </c>
      <c r="BW39" s="190" t="e">
        <f t="shared" si="30"/>
        <v>#REF!</v>
      </c>
      <c r="BY39" s="190" t="e">
        <f t="shared" si="31"/>
        <v>#REF!</v>
      </c>
      <c r="CA39" s="188">
        <f>'[1]FC2+10'!AA38</f>
        <v>-108.4682257499999</v>
      </c>
      <c r="CC39" s="190">
        <f t="shared" si="32"/>
        <v>-45.535364649999906</v>
      </c>
      <c r="CE39" s="185">
        <f>SUM(CE36:CE38)</f>
        <v>-34.263935662695538</v>
      </c>
      <c r="CF39" s="185">
        <f>SUM(CF36:CF38)</f>
        <v>-33.897963289693955</v>
      </c>
      <c r="CG39" s="185">
        <f>SUM(CG36:CG38)</f>
        <v>0</v>
      </c>
      <c r="CH39" s="158">
        <f t="shared" si="53"/>
        <v>-68.161898952389492</v>
      </c>
      <c r="CI39" s="214">
        <f t="shared" si="46"/>
        <v>2.4717395626955394</v>
      </c>
      <c r="CJ39" s="214">
        <f t="shared" si="46"/>
        <v>2.7572982896939529</v>
      </c>
      <c r="CK39" s="214">
        <f t="shared" si="46"/>
        <v>0</v>
      </c>
      <c r="CL39" s="158">
        <f t="shared" si="46"/>
        <v>5.2290378523894958</v>
      </c>
      <c r="CM39" s="158">
        <f>SUM(CM36:CM38)</f>
        <v>-99.308567273083213</v>
      </c>
      <c r="CN39" s="158">
        <f t="shared" si="35"/>
        <v>36.375706173083216</v>
      </c>
    </row>
    <row r="40" spans="2:95" outlineLevel="2">
      <c r="B40" s="217"/>
      <c r="C40" s="218"/>
      <c r="D40" s="219" t="s">
        <v>100</v>
      </c>
      <c r="E40" s="66"/>
      <c r="F40" s="179"/>
      <c r="G40" s="181"/>
      <c r="H40" s="181"/>
      <c r="I40" s="180"/>
      <c r="K40" s="220"/>
      <c r="L40" s="220"/>
      <c r="M40" s="220"/>
      <c r="N40" s="220"/>
      <c r="O40" s="181"/>
      <c r="P40" s="181"/>
      <c r="Q40" s="181"/>
      <c r="R40" s="220"/>
      <c r="S40" s="73"/>
      <c r="T40" s="220"/>
      <c r="U40" s="220"/>
      <c r="V40" s="220"/>
      <c r="W40" s="220"/>
      <c r="X40" s="181"/>
      <c r="Y40" s="181"/>
      <c r="Z40" s="181"/>
      <c r="AA40" s="220"/>
      <c r="AB40" s="73"/>
      <c r="AC40" s="220"/>
      <c r="AD40" s="220"/>
      <c r="AE40" s="220"/>
      <c r="AF40" s="76"/>
      <c r="AG40" s="181"/>
      <c r="AH40" s="181"/>
      <c r="AI40" s="181"/>
      <c r="AJ40" s="77"/>
      <c r="AK40" s="73"/>
      <c r="AL40" s="220"/>
      <c r="AM40" s="220"/>
      <c r="AN40" s="220"/>
      <c r="AO40" s="78"/>
      <c r="AP40" s="181"/>
      <c r="AQ40" s="181"/>
      <c r="AR40" s="181"/>
      <c r="AS40" s="79"/>
      <c r="AU40" s="220">
        <f>[1]Act!L39</f>
        <v>0</v>
      </c>
      <c r="AV40" s="90">
        <f t="shared" si="20"/>
        <v>0</v>
      </c>
      <c r="AW40" s="73"/>
      <c r="AX40" s="220"/>
      <c r="AY40" s="220"/>
      <c r="AZ40" s="220"/>
      <c r="BA40" s="220"/>
      <c r="BB40" s="181"/>
      <c r="BC40" s="181"/>
      <c r="BD40" s="181"/>
      <c r="BE40" s="220"/>
      <c r="BG40" s="220"/>
      <c r="BH40" s="220"/>
      <c r="BI40" s="220"/>
      <c r="BJ40" s="76"/>
      <c r="BK40" s="181"/>
      <c r="BL40" s="181"/>
      <c r="BM40" s="181"/>
      <c r="BN40" s="77"/>
      <c r="BP40" s="220"/>
      <c r="BQ40" s="220"/>
      <c r="BR40" s="220"/>
      <c r="BS40" s="76"/>
      <c r="BT40" s="181"/>
      <c r="BU40" s="181"/>
      <c r="BV40" s="181"/>
      <c r="BW40" s="77"/>
      <c r="BY40" s="77">
        <f t="shared" si="31"/>
        <v>0</v>
      </c>
      <c r="CA40" s="220">
        <f>'[1]FC2+10'!AA39</f>
        <v>0</v>
      </c>
      <c r="CC40" s="77">
        <f t="shared" si="32"/>
        <v>0</v>
      </c>
      <c r="CE40" s="220"/>
      <c r="CF40" s="220"/>
      <c r="CG40" s="220"/>
      <c r="CH40" s="80"/>
      <c r="CI40" s="181"/>
      <c r="CJ40" s="181"/>
      <c r="CK40" s="181"/>
      <c r="CL40" s="80"/>
      <c r="CM40" s="80"/>
      <c r="CN40" s="80">
        <f t="shared" si="35"/>
        <v>0</v>
      </c>
    </row>
    <row r="41" spans="2:95" outlineLevel="2">
      <c r="B41" s="221"/>
      <c r="C41" s="217"/>
      <c r="D41" s="222" t="s">
        <v>40</v>
      </c>
      <c r="E41" s="82"/>
      <c r="F41" s="83"/>
      <c r="G41" s="84"/>
      <c r="H41" s="84"/>
      <c r="I41" s="85"/>
      <c r="K41" s="84"/>
      <c r="L41" s="84"/>
      <c r="M41" s="84"/>
      <c r="N41" s="86"/>
      <c r="O41" s="87"/>
      <c r="P41" s="87"/>
      <c r="Q41" s="87"/>
      <c r="R41" s="88"/>
      <c r="S41" s="73"/>
      <c r="T41" s="84"/>
      <c r="U41" s="84"/>
      <c r="V41" s="84"/>
      <c r="W41" s="89"/>
      <c r="X41" s="87"/>
      <c r="Y41" s="87"/>
      <c r="Z41" s="87"/>
      <c r="AA41" s="90"/>
      <c r="AB41" s="73"/>
      <c r="AC41" s="84"/>
      <c r="AD41" s="84"/>
      <c r="AE41" s="84"/>
      <c r="AF41" s="91"/>
      <c r="AG41" s="87"/>
      <c r="AH41" s="87"/>
      <c r="AI41" s="87"/>
      <c r="AJ41" s="92"/>
      <c r="AK41" s="73"/>
      <c r="AL41" s="84"/>
      <c r="AM41" s="84"/>
      <c r="AN41" s="84"/>
      <c r="AO41" s="93"/>
      <c r="AP41" s="87"/>
      <c r="AQ41" s="87"/>
      <c r="AR41" s="87"/>
      <c r="AS41" s="94"/>
      <c r="AU41" s="84">
        <f>[1]Act!L40</f>
        <v>0</v>
      </c>
      <c r="AV41" s="90">
        <f t="shared" si="20"/>
        <v>0</v>
      </c>
      <c r="AW41" s="73"/>
      <c r="AX41" s="84"/>
      <c r="AY41" s="84"/>
      <c r="AZ41" s="84"/>
      <c r="BA41" s="89"/>
      <c r="BB41" s="87"/>
      <c r="BC41" s="87"/>
      <c r="BD41" s="87"/>
      <c r="BE41" s="90"/>
      <c r="BG41" s="84"/>
      <c r="BH41" s="84"/>
      <c r="BI41" s="84"/>
      <c r="BJ41" s="91"/>
      <c r="BK41" s="87"/>
      <c r="BL41" s="87"/>
      <c r="BM41" s="87"/>
      <c r="BN41" s="92"/>
      <c r="BP41" s="84"/>
      <c r="BQ41" s="84"/>
      <c r="BR41" s="84"/>
      <c r="BS41" s="91"/>
      <c r="BT41" s="87"/>
      <c r="BU41" s="87"/>
      <c r="BV41" s="87"/>
      <c r="BW41" s="92"/>
      <c r="BY41" s="92">
        <f t="shared" si="31"/>
        <v>0</v>
      </c>
      <c r="CA41" s="89">
        <f>'[1]FC2+10'!AA40</f>
        <v>0</v>
      </c>
      <c r="CC41" s="92">
        <f t="shared" si="32"/>
        <v>0</v>
      </c>
      <c r="CE41" s="84"/>
      <c r="CF41" s="84"/>
      <c r="CG41" s="84"/>
      <c r="CH41" s="95"/>
      <c r="CI41" s="87"/>
      <c r="CJ41" s="87"/>
      <c r="CK41" s="87"/>
      <c r="CL41" s="95"/>
      <c r="CM41" s="95"/>
      <c r="CN41" s="95">
        <f t="shared" si="35"/>
        <v>0</v>
      </c>
    </row>
    <row r="42" spans="2:95" outlineLevel="2">
      <c r="B42" s="221"/>
      <c r="C42" s="217"/>
      <c r="D42" s="178" t="s">
        <v>41</v>
      </c>
      <c r="E42" s="82"/>
      <c r="F42" s="83">
        <f>IF([1]Act!S$3=1,[1]Act!S41,"")</f>
        <v>-34.384496372999998</v>
      </c>
      <c r="G42" s="83">
        <f>IF([1]Act!T$3=1,[1]Act!T41,"")</f>
        <v>-34.494877772000002</v>
      </c>
      <c r="H42" s="83" t="str">
        <f>IF([1]Act!U$3=1,[1]Act!U41,"")</f>
        <v/>
      </c>
      <c r="I42" s="85">
        <f>SUM(F42:H42)</f>
        <v>-68.879374145</v>
      </c>
      <c r="K42" s="84">
        <f>IF([1]BP!S$3=1,[1]BP!S41,"")</f>
        <v>-33.334538484000007</v>
      </c>
      <c r="L42" s="84">
        <f>IF([1]BP!T$3=1,[1]BP!T41,"")</f>
        <v>-32.189423051000006</v>
      </c>
      <c r="M42" s="84" t="str">
        <f>IF([1]BP!U$3=1,[1]BP!U41,"")</f>
        <v/>
      </c>
      <c r="N42" s="86">
        <f t="shared" si="45"/>
        <v>-65.523961535000012</v>
      </c>
      <c r="O42" s="87">
        <f t="shared" si="36"/>
        <v>-1.049957888999991</v>
      </c>
      <c r="P42" s="87">
        <f t="shared" si="36"/>
        <v>-2.3054547209999967</v>
      </c>
      <c r="Q42" s="87">
        <f t="shared" si="36"/>
        <v>0</v>
      </c>
      <c r="R42" s="88">
        <f t="shared" si="37"/>
        <v>-3.3554126099999877</v>
      </c>
      <c r="S42" s="73"/>
      <c r="T42" s="84">
        <f>IF('[1]FC2+10'!S$3=1,'[1]FC2+10'!S41,"")</f>
        <v>-27.899405575999999</v>
      </c>
      <c r="U42" s="84">
        <f>IF('[1]FC2+10'!T$3=1,'[1]FC2+10'!T41,"")</f>
        <v>-26.567381841000003</v>
      </c>
      <c r="V42" s="84" t="str">
        <f>IF('[1]FC2+10'!U$3=1,'[1]FC2+10'!U41,"")</f>
        <v/>
      </c>
      <c r="W42" s="89">
        <f t="shared" si="47"/>
        <v>-54.466787417000006</v>
      </c>
      <c r="X42" s="87">
        <f t="shared" si="38"/>
        <v>-6.485090796999998</v>
      </c>
      <c r="Y42" s="87">
        <f t="shared" si="38"/>
        <v>-7.9274959309999993</v>
      </c>
      <c r="Z42" s="87">
        <f t="shared" si="38"/>
        <v>0</v>
      </c>
      <c r="AA42" s="90">
        <f t="shared" si="39"/>
        <v>-14.412586727999994</v>
      </c>
      <c r="AB42" s="73"/>
      <c r="AC42" s="84">
        <f>IF([1]OL!S$3=1,[1]OL!S41,"")</f>
        <v>-34.384496372999998</v>
      </c>
      <c r="AD42" s="84">
        <f>IF([1]OL!T$3=1,[1]OL!T41,"")</f>
        <v>-32.015299488000004</v>
      </c>
      <c r="AE42" s="84" t="str">
        <f>IF([1]OL!U$3=1,[1]OL!U41,"")</f>
        <v/>
      </c>
      <c r="AF42" s="91">
        <f t="shared" si="48"/>
        <v>-66.399795861000001</v>
      </c>
      <c r="AG42" s="87">
        <f t="shared" si="40"/>
        <v>0</v>
      </c>
      <c r="AH42" s="87">
        <f t="shared" si="40"/>
        <v>-2.4795782839999987</v>
      </c>
      <c r="AI42" s="87">
        <f t="shared" si="40"/>
        <v>0</v>
      </c>
      <c r="AJ42" s="92">
        <f t="shared" si="40"/>
        <v>-2.4795782839999987</v>
      </c>
      <c r="AK42" s="73"/>
      <c r="AL42" s="84">
        <f>IF([1]LY!S$3=1,[1]LY!S41,"")</f>
        <v>-39.808074235999996</v>
      </c>
      <c r="AM42" s="84">
        <f>IF([1]LY!T$3=1,[1]LY!T41,"")</f>
        <v>-36.815216778</v>
      </c>
      <c r="AN42" s="84" t="str">
        <f>IF([1]LY!U$3=1,[1]LY!U41,"")</f>
        <v/>
      </c>
      <c r="AO42" s="93">
        <f t="shared" si="49"/>
        <v>-76.623291013999989</v>
      </c>
      <c r="AP42" s="87">
        <f t="shared" si="41"/>
        <v>5.4235778629999984</v>
      </c>
      <c r="AQ42" s="87">
        <f t="shared" si="41"/>
        <v>2.3203390059999975</v>
      </c>
      <c r="AR42" s="87">
        <f t="shared" si="41"/>
        <v>0</v>
      </c>
      <c r="AS42" s="94">
        <f t="shared" si="41"/>
        <v>7.7439168689999889</v>
      </c>
      <c r="AU42" s="84">
        <f>[1]Act!L41</f>
        <v>-33.939043177999999</v>
      </c>
      <c r="AV42" s="90" t="e">
        <f t="shared" si="20"/>
        <v>#VALUE!</v>
      </c>
      <c r="AW42" s="73"/>
      <c r="AX42" s="84">
        <f>IF('[1]FC5+7'!S$3=1,'[1]FC5+7'!S41,"")</f>
        <v>-28.667374469000006</v>
      </c>
      <c r="AY42" s="84">
        <f>IF('[1]FC5+7'!T$3=1,'[1]FC5+7'!T41,"")</f>
        <v>-27.967542151000004</v>
      </c>
      <c r="AZ42" s="84" t="str">
        <f>IF('[1]FC5+7'!U$3=1,'[1]FC5+7'!U41,"")</f>
        <v/>
      </c>
      <c r="BA42" s="89">
        <f t="shared" si="50"/>
        <v>-56.634916620000013</v>
      </c>
      <c r="BB42" s="87">
        <f t="shared" si="42"/>
        <v>-5.7171219039999919</v>
      </c>
      <c r="BC42" s="87">
        <f t="shared" si="42"/>
        <v>-6.5273356209999989</v>
      </c>
      <c r="BD42" s="87">
        <f t="shared" si="42"/>
        <v>0</v>
      </c>
      <c r="BE42" s="90">
        <f t="shared" si="42"/>
        <v>-12.244457524999987</v>
      </c>
      <c r="BG42" s="84">
        <f t="shared" si="23"/>
        <v>-34.384496372999998</v>
      </c>
      <c r="BH42" s="84">
        <v>-30.12</v>
      </c>
      <c r="BI42" s="84">
        <v>-35.61</v>
      </c>
      <c r="BJ42" s="91">
        <f t="shared" si="51"/>
        <v>-100.11449637299999</v>
      </c>
      <c r="BK42" s="87">
        <f t="shared" si="25"/>
        <v>0</v>
      </c>
      <c r="BL42" s="87">
        <f t="shared" si="25"/>
        <v>-2.4795782839999987</v>
      </c>
      <c r="BM42" s="87">
        <f t="shared" si="26"/>
        <v>0</v>
      </c>
      <c r="BN42" s="92">
        <f t="shared" si="27"/>
        <v>31.235122227999994</v>
      </c>
      <c r="BP42" s="84">
        <f t="shared" si="28"/>
        <v>-34.384496372999998</v>
      </c>
      <c r="BQ42" s="84">
        <f t="shared" si="28"/>
        <v>-34.494877772000002</v>
      </c>
      <c r="BR42" s="84" t="e">
        <f>#REF!</f>
        <v>#REF!</v>
      </c>
      <c r="BS42" s="91" t="e">
        <f t="shared" si="52"/>
        <v>#REF!</v>
      </c>
      <c r="BT42" s="87">
        <f t="shared" si="30"/>
        <v>0</v>
      </c>
      <c r="BU42" s="87">
        <f t="shared" si="30"/>
        <v>-2.4795782839999987</v>
      </c>
      <c r="BV42" s="87" t="e">
        <f t="shared" si="30"/>
        <v>#REF!</v>
      </c>
      <c r="BW42" s="92" t="e">
        <f t="shared" si="30"/>
        <v>#REF!</v>
      </c>
      <c r="BY42" s="92" t="e">
        <f t="shared" si="31"/>
        <v>#VALUE!</v>
      </c>
      <c r="CA42" s="89">
        <f>'[1]FC2+10'!AA41</f>
        <v>-92.724437824999995</v>
      </c>
      <c r="CC42" s="92">
        <f t="shared" si="32"/>
        <v>-23.845063679999996</v>
      </c>
      <c r="CE42" s="84">
        <f>IF('[1]FC7+5'!S$3=1,'[1]FC7+5'!S41,"")</f>
        <v>-32.881812816999997</v>
      </c>
      <c r="CF42" s="84">
        <f>IF('[1]FC7+5'!T$3=1,'[1]FC7+5'!T41,"")</f>
        <v>-32.015299488000004</v>
      </c>
      <c r="CG42" s="84" t="str">
        <f>IF('[1]FC7+5'!U$3=1,'[1]FC7+5'!U41,"")</f>
        <v/>
      </c>
      <c r="CH42" s="95">
        <f t="shared" ref="CH42" si="54">SUM(CE42:CG42)</f>
        <v>-64.897112305000007</v>
      </c>
      <c r="CI42" s="87">
        <f t="shared" ref="CI42:CL42" si="55">IFERROR(F42-CE42,0)</f>
        <v>-1.5026835560000009</v>
      </c>
      <c r="CJ42" s="87">
        <f t="shared" si="55"/>
        <v>-2.4795782839999987</v>
      </c>
      <c r="CK42" s="87">
        <f t="shared" si="55"/>
        <v>0</v>
      </c>
      <c r="CL42" s="95">
        <f t="shared" si="55"/>
        <v>-3.9822618399999925</v>
      </c>
      <c r="CM42" s="47">
        <f>IF('[1]FC7+5'!AC$3=1,'[1]FC7+5'!AC41,"")</f>
        <v>-94.791248245000006</v>
      </c>
      <c r="CN42" s="47">
        <f t="shared" si="35"/>
        <v>25.911874100000006</v>
      </c>
    </row>
    <row r="43" spans="2:95" outlineLevel="2">
      <c r="B43" s="221"/>
      <c r="C43" s="217"/>
      <c r="D43" s="223" t="s">
        <v>42</v>
      </c>
      <c r="E43" s="82"/>
      <c r="F43" s="83"/>
      <c r="G43" s="83"/>
      <c r="H43" s="83"/>
      <c r="I43" s="85"/>
      <c r="K43" s="84"/>
      <c r="L43" s="84"/>
      <c r="M43" s="84"/>
      <c r="N43" s="86"/>
      <c r="O43" s="87"/>
      <c r="P43" s="87"/>
      <c r="Q43" s="87"/>
      <c r="R43" s="88"/>
      <c r="S43" s="73"/>
      <c r="T43" s="84"/>
      <c r="U43" s="84"/>
      <c r="V43" s="84"/>
      <c r="W43" s="89"/>
      <c r="X43" s="87"/>
      <c r="Y43" s="87"/>
      <c r="Z43" s="87"/>
      <c r="AA43" s="90"/>
      <c r="AB43" s="73"/>
      <c r="AC43" s="84">
        <f>IF([1]OL!S$3=1,[1]OL!S42,"")</f>
        <v>0</v>
      </c>
      <c r="AD43" s="84">
        <f>IF([1]OL!T$3=1,[1]OL!T42,"")</f>
        <v>0</v>
      </c>
      <c r="AE43" s="84" t="str">
        <f>IF([1]OL!U$3=1,[1]OL!U42,"")</f>
        <v/>
      </c>
      <c r="AF43" s="91"/>
      <c r="AG43" s="87"/>
      <c r="AH43" s="87"/>
      <c r="AI43" s="87"/>
      <c r="AJ43" s="92"/>
      <c r="AK43" s="73"/>
      <c r="AL43" s="84"/>
      <c r="AM43" s="84"/>
      <c r="AN43" s="84"/>
      <c r="AO43" s="93"/>
      <c r="AP43" s="87"/>
      <c r="AQ43" s="87"/>
      <c r="AR43" s="87"/>
      <c r="AS43" s="94"/>
      <c r="AU43" s="84">
        <f>[1]Act!L42</f>
        <v>0</v>
      </c>
      <c r="AV43" s="90">
        <f t="shared" si="20"/>
        <v>0</v>
      </c>
      <c r="AW43" s="73"/>
      <c r="AX43" s="84"/>
      <c r="AY43" s="84"/>
      <c r="AZ43" s="84"/>
      <c r="BA43" s="89"/>
      <c r="BB43" s="87"/>
      <c r="BC43" s="87"/>
      <c r="BD43" s="87"/>
      <c r="BE43" s="90"/>
      <c r="BG43" s="84"/>
      <c r="BH43" s="84"/>
      <c r="BI43" s="84"/>
      <c r="BJ43" s="91"/>
      <c r="BK43" s="87"/>
      <c r="BL43" s="87"/>
      <c r="BM43" s="87"/>
      <c r="BN43" s="92"/>
      <c r="BP43" s="84"/>
      <c r="BQ43" s="84"/>
      <c r="BR43" s="84"/>
      <c r="BS43" s="91"/>
      <c r="BT43" s="87"/>
      <c r="BU43" s="87"/>
      <c r="BV43" s="87"/>
      <c r="BW43" s="92"/>
      <c r="BY43" s="92">
        <f t="shared" si="31"/>
        <v>0</v>
      </c>
      <c r="CA43" s="89">
        <f>'[1]FC2+10'!AA42</f>
        <v>0</v>
      </c>
      <c r="CC43" s="92">
        <f t="shared" si="32"/>
        <v>0</v>
      </c>
      <c r="CE43" s="84"/>
      <c r="CF43" s="84"/>
      <c r="CG43" s="84"/>
      <c r="CH43" s="95"/>
      <c r="CI43" s="87"/>
      <c r="CJ43" s="87"/>
      <c r="CK43" s="87"/>
      <c r="CL43" s="95"/>
      <c r="CM43" s="95"/>
      <c r="CN43" s="95">
        <f t="shared" si="35"/>
        <v>0</v>
      </c>
    </row>
    <row r="44" spans="2:95" s="5" customFormat="1" outlineLevel="2">
      <c r="B44" s="224"/>
      <c r="C44" s="225"/>
      <c r="D44" s="226" t="s">
        <v>43</v>
      </c>
      <c r="E44" s="227"/>
      <c r="F44" s="228">
        <f>IF([1]Act!S$3=1,[1]Act!S43,"")</f>
        <v>1.1941014209842464</v>
      </c>
      <c r="G44" s="228">
        <f>IF([1]Act!T$3=1,[1]Act!T43,"")</f>
        <v>1.5389608073465981</v>
      </c>
      <c r="H44" s="228" t="str">
        <f>IF([1]Act!U$3=1,[1]Act!U43,"")</f>
        <v/>
      </c>
      <c r="I44" s="229">
        <f t="shared" si="44"/>
        <v>2.7330622283308443</v>
      </c>
      <c r="K44" s="230">
        <f>IF([1]BP!S$3=1,[1]BP!S43,"")</f>
        <v>2.9672614199656233</v>
      </c>
      <c r="L44" s="230">
        <f>IF([1]BP!T$3=1,[1]BP!T43,"")</f>
        <v>2.9672614196324782</v>
      </c>
      <c r="M44" s="230" t="str">
        <f>IF([1]BP!U$3=1,[1]BP!U43,"")</f>
        <v/>
      </c>
      <c r="N44" s="231">
        <f t="shared" si="45"/>
        <v>5.9345228395981016</v>
      </c>
      <c r="O44" s="232">
        <f t="shared" si="36"/>
        <v>-1.7731599989813769</v>
      </c>
      <c r="P44" s="232">
        <f t="shared" si="36"/>
        <v>-1.4283006122858801</v>
      </c>
      <c r="Q44" s="232">
        <f t="shared" si="36"/>
        <v>0</v>
      </c>
      <c r="R44" s="233">
        <f t="shared" si="37"/>
        <v>-3.2014606112672572</v>
      </c>
      <c r="T44" s="230">
        <f>IF('[1]FC2+10'!S$3=1,'[1]FC2+10'!S43,"")</f>
        <v>1.6484440717881861</v>
      </c>
      <c r="U44" s="230">
        <f>IF('[1]FC2+10'!T$3=1,'[1]FC2+10'!T43,"")</f>
        <v>1.6484440683192347</v>
      </c>
      <c r="V44" s="230" t="str">
        <f>IF('[1]FC2+10'!U$3=1,'[1]FC2+10'!U43,"")</f>
        <v/>
      </c>
      <c r="W44" s="234">
        <f t="shared" si="47"/>
        <v>3.2968881401074208</v>
      </c>
      <c r="X44" s="232">
        <f t="shared" si="38"/>
        <v>-0.45434265080393965</v>
      </c>
      <c r="Y44" s="232">
        <f t="shared" si="38"/>
        <v>-0.10948326097263661</v>
      </c>
      <c r="Z44" s="232">
        <f t="shared" si="38"/>
        <v>0</v>
      </c>
      <c r="AA44" s="235">
        <f t="shared" si="39"/>
        <v>-0.56382591177657648</v>
      </c>
      <c r="AC44" s="230">
        <f>IF([1]OL!S$3=1,[1]OL!S43,"")</f>
        <v>1.1941014209842464</v>
      </c>
      <c r="AD44" s="230">
        <f>IF([1]OL!T$3=1,[1]OL!T43,"")</f>
        <v>1.5284342684476986</v>
      </c>
      <c r="AE44" s="230" t="str">
        <f>IF([1]OL!U$3=1,[1]OL!U43,"")</f>
        <v/>
      </c>
      <c r="AF44" s="236">
        <f t="shared" si="48"/>
        <v>2.722535689431945</v>
      </c>
      <c r="AG44" s="232">
        <f t="shared" si="40"/>
        <v>0</v>
      </c>
      <c r="AH44" s="232">
        <f t="shared" si="40"/>
        <v>1.052653889889954E-2</v>
      </c>
      <c r="AI44" s="232">
        <f t="shared" si="40"/>
        <v>0</v>
      </c>
      <c r="AJ44" s="237">
        <f t="shared" si="40"/>
        <v>1.0526538898899318E-2</v>
      </c>
      <c r="AL44" s="230">
        <f>IF([1]LY!S$3=1,[1]LY!S43,"")</f>
        <v>2.7949258952424012</v>
      </c>
      <c r="AM44" s="230">
        <f>IF([1]LY!T$3=1,[1]LY!T43,"")</f>
        <v>1.8210457557982509</v>
      </c>
      <c r="AN44" s="230" t="str">
        <f>IF([1]LY!U$3=1,[1]LY!U43,"")</f>
        <v/>
      </c>
      <c r="AO44" s="238">
        <f t="shared" si="49"/>
        <v>4.6159716510406525</v>
      </c>
      <c r="AP44" s="232">
        <f t="shared" si="41"/>
        <v>-1.6008244742581548</v>
      </c>
      <c r="AQ44" s="232">
        <f t="shared" si="41"/>
        <v>-0.28208494845165277</v>
      </c>
      <c r="AR44" s="232">
        <f t="shared" si="41"/>
        <v>0</v>
      </c>
      <c r="AS44" s="239">
        <f t="shared" si="41"/>
        <v>-1.8829094227098082</v>
      </c>
      <c r="AU44" s="230">
        <f>[1]Act!L43</f>
        <v>1.052079276941204</v>
      </c>
      <c r="AV44" s="235" t="e">
        <f t="shared" si="20"/>
        <v>#VALUE!</v>
      </c>
      <c r="AX44" s="230">
        <f>IF('[1]FC5+7'!S$3=1,'[1]FC5+7'!S43,"")</f>
        <v>2.168065602974421</v>
      </c>
      <c r="AY44" s="230">
        <f>IF('[1]FC5+7'!T$3=1,'[1]FC5+7'!T43,"")</f>
        <v>2.1680656111712704</v>
      </c>
      <c r="AZ44" s="230" t="str">
        <f>IF('[1]FC5+7'!U$3=1,'[1]FC5+7'!U43,"")</f>
        <v/>
      </c>
      <c r="BA44" s="234">
        <f t="shared" si="50"/>
        <v>4.3361312141456914</v>
      </c>
      <c r="BB44" s="232">
        <f t="shared" si="42"/>
        <v>-0.97396418199017454</v>
      </c>
      <c r="BC44" s="232">
        <f t="shared" si="42"/>
        <v>-0.62910480382467227</v>
      </c>
      <c r="BD44" s="232">
        <f t="shared" si="42"/>
        <v>0</v>
      </c>
      <c r="BE44" s="235">
        <f t="shared" si="42"/>
        <v>-1.603068985814847</v>
      </c>
      <c r="BG44" s="230">
        <f t="shared" si="23"/>
        <v>1.1941014209842464</v>
      </c>
      <c r="BH44" s="230">
        <v>2.4500000000000002</v>
      </c>
      <c r="BI44" s="230">
        <v>2.4500000000000002</v>
      </c>
      <c r="BJ44" s="236">
        <f t="shared" si="51"/>
        <v>6.0941014209842468</v>
      </c>
      <c r="BK44" s="232">
        <f t="shared" si="25"/>
        <v>0</v>
      </c>
      <c r="BL44" s="232">
        <f t="shared" si="25"/>
        <v>1.052653889889954E-2</v>
      </c>
      <c r="BM44" s="232">
        <f t="shared" si="26"/>
        <v>0</v>
      </c>
      <c r="BN44" s="237">
        <f t="shared" si="27"/>
        <v>-3.3610391926534025</v>
      </c>
      <c r="BP44" s="230">
        <f t="shared" si="28"/>
        <v>1.1941014209842464</v>
      </c>
      <c r="BQ44" s="230">
        <f t="shared" si="28"/>
        <v>1.5389608073465981</v>
      </c>
      <c r="BR44" s="230" t="e">
        <f>#REF!</f>
        <v>#REF!</v>
      </c>
      <c r="BS44" s="236" t="e">
        <f t="shared" si="52"/>
        <v>#REF!</v>
      </c>
      <c r="BT44" s="232">
        <f t="shared" si="30"/>
        <v>0</v>
      </c>
      <c r="BU44" s="232">
        <f t="shared" si="30"/>
        <v>1.052653889889954E-2</v>
      </c>
      <c r="BV44" s="232" t="e">
        <f t="shared" si="30"/>
        <v>#REF!</v>
      </c>
      <c r="BW44" s="237" t="e">
        <f t="shared" si="30"/>
        <v>#REF!</v>
      </c>
      <c r="BY44" s="237" t="e">
        <f t="shared" si="31"/>
        <v>#VALUE!</v>
      </c>
      <c r="CA44" s="234">
        <f>'[1]FC2+10'!AA43</f>
        <v>4.9453322180245181</v>
      </c>
      <c r="CC44" s="237">
        <f t="shared" si="32"/>
        <v>2.2122699896936737</v>
      </c>
      <c r="CE44" s="230">
        <f>IF('[1]FC7+5'!S$3=1,'[1]FC7+5'!S43,"")</f>
        <v>1.5284342716072121</v>
      </c>
      <c r="CF44" s="230">
        <f>IF('[1]FC7+5'!T$3=1,'[1]FC7+5'!T43,"")</f>
        <v>1.5284342684476986</v>
      </c>
      <c r="CG44" s="230" t="str">
        <f>IF('[1]FC7+5'!U$3=1,'[1]FC7+5'!U43,"")</f>
        <v/>
      </c>
      <c r="CH44" s="240">
        <f t="shared" ref="CH44:CH47" si="56">SUM(CE44:CG44)</f>
        <v>3.0568685400549107</v>
      </c>
      <c r="CI44" s="232">
        <f t="shared" ref="CI44:CL48" si="57">IFERROR(F44-CE44,0)</f>
        <v>-0.33433285062296569</v>
      </c>
      <c r="CJ44" s="232">
        <f t="shared" si="57"/>
        <v>1.052653889889954E-2</v>
      </c>
      <c r="CK44" s="232">
        <f t="shared" si="57"/>
        <v>0</v>
      </c>
      <c r="CL44" s="240">
        <f t="shared" si="57"/>
        <v>-0.32380631172406638</v>
      </c>
      <c r="CM44" s="240">
        <f>IF('[1]FC7+5'!AC$3=1,'[1]FC7+5'!AC43,"")</f>
        <v>4.5390001255980916</v>
      </c>
      <c r="CN44" s="240">
        <f t="shared" si="35"/>
        <v>-1.8059378972672473</v>
      </c>
      <c r="CQ44" s="1"/>
    </row>
    <row r="45" spans="2:95" outlineLevel="2">
      <c r="B45" s="241"/>
      <c r="C45" s="66" t="s">
        <v>101</v>
      </c>
      <c r="D45" s="66"/>
      <c r="E45" s="66"/>
      <c r="F45" s="113">
        <f>SUM(F40:F44)</f>
        <v>-33.190394952015751</v>
      </c>
      <c r="G45" s="113">
        <f>SUM(G40:G44)</f>
        <v>-32.955916964653404</v>
      </c>
      <c r="H45" s="113">
        <f>SUM(H40:H44)</f>
        <v>0</v>
      </c>
      <c r="I45" s="114">
        <f t="shared" si="44"/>
        <v>-66.146311916669163</v>
      </c>
      <c r="K45" s="115">
        <f>SUM(K40:K44)</f>
        <v>-30.367277064034383</v>
      </c>
      <c r="L45" s="115">
        <f>SUM(L40:L44)</f>
        <v>-29.222161631367527</v>
      </c>
      <c r="M45" s="115">
        <f>SUM(M40:M44)</f>
        <v>0</v>
      </c>
      <c r="N45" s="116">
        <f t="shared" si="45"/>
        <v>-59.58943869540191</v>
      </c>
      <c r="O45" s="115">
        <f t="shared" si="36"/>
        <v>-2.8231178879813683</v>
      </c>
      <c r="P45" s="115">
        <f t="shared" si="36"/>
        <v>-3.7337553332858775</v>
      </c>
      <c r="Q45" s="115">
        <f t="shared" si="36"/>
        <v>0</v>
      </c>
      <c r="R45" s="117">
        <f t="shared" si="37"/>
        <v>-6.5568732212672529</v>
      </c>
      <c r="S45" s="73"/>
      <c r="T45" s="115">
        <f>SUM(T40:T44)</f>
        <v>-26.250961504211812</v>
      </c>
      <c r="U45" s="115">
        <f>SUM(U40:U44)</f>
        <v>-24.918937772680767</v>
      </c>
      <c r="V45" s="115">
        <f>SUM(V40:V44)</f>
        <v>0</v>
      </c>
      <c r="W45" s="118">
        <f t="shared" si="47"/>
        <v>-51.169899276892579</v>
      </c>
      <c r="X45" s="115">
        <f t="shared" si="38"/>
        <v>-6.939433447803939</v>
      </c>
      <c r="Y45" s="115">
        <f t="shared" si="38"/>
        <v>-8.0369791919726374</v>
      </c>
      <c r="Z45" s="115">
        <f t="shared" si="38"/>
        <v>0</v>
      </c>
      <c r="AA45" s="119">
        <f t="shared" si="39"/>
        <v>-14.976412639776584</v>
      </c>
      <c r="AB45" s="73"/>
      <c r="AC45" s="115">
        <f>SUM(AC40:AC44)</f>
        <v>-33.190394952015751</v>
      </c>
      <c r="AD45" s="115">
        <f>SUM(AD40:AD44)</f>
        <v>-30.486865219552307</v>
      </c>
      <c r="AE45" s="115">
        <f>SUM(AE40:AE44)</f>
        <v>0</v>
      </c>
      <c r="AF45" s="120">
        <f t="shared" si="48"/>
        <v>-63.677260171568058</v>
      </c>
      <c r="AG45" s="115">
        <f t="shared" si="40"/>
        <v>0</v>
      </c>
      <c r="AH45" s="115">
        <f t="shared" si="40"/>
        <v>-2.4690517451010976</v>
      </c>
      <c r="AI45" s="115">
        <f t="shared" si="40"/>
        <v>0</v>
      </c>
      <c r="AJ45" s="121">
        <f t="shared" si="40"/>
        <v>-2.4690517451011047</v>
      </c>
      <c r="AK45" s="73"/>
      <c r="AL45" s="115">
        <f>SUM(AL40:AL44)</f>
        <v>-37.013148340757596</v>
      </c>
      <c r="AM45" s="115">
        <f>SUM(AM40:AM44)</f>
        <v>-34.994171022201748</v>
      </c>
      <c r="AN45" s="115">
        <f>SUM(AN40:AN44)</f>
        <v>0</v>
      </c>
      <c r="AO45" s="122">
        <f t="shared" si="49"/>
        <v>-72.00731936295935</v>
      </c>
      <c r="AP45" s="115">
        <f t="shared" si="41"/>
        <v>3.8227533887418446</v>
      </c>
      <c r="AQ45" s="115">
        <f t="shared" si="41"/>
        <v>2.0382540575483432</v>
      </c>
      <c r="AR45" s="115">
        <f t="shared" si="41"/>
        <v>0</v>
      </c>
      <c r="AS45" s="123">
        <f t="shared" si="41"/>
        <v>5.8610074462901878</v>
      </c>
      <c r="AT45" s="73"/>
      <c r="AU45" s="115">
        <f>[1]Act!L44</f>
        <v>-32.886963901058792</v>
      </c>
      <c r="AV45" s="119">
        <f t="shared" si="20"/>
        <v>32.886963901058792</v>
      </c>
      <c r="AW45" s="73"/>
      <c r="AX45" s="115">
        <f>SUM(AX40:AX44)</f>
        <v>-26.499308866025586</v>
      </c>
      <c r="AY45" s="115">
        <f>SUM(AY40:AY44)</f>
        <v>-25.799476539828731</v>
      </c>
      <c r="AZ45" s="115">
        <f>SUM(AZ40:AZ44)</f>
        <v>0</v>
      </c>
      <c r="BA45" s="118">
        <f t="shared" si="50"/>
        <v>-52.298785405854318</v>
      </c>
      <c r="BB45" s="115">
        <f t="shared" si="42"/>
        <v>-6.6910860859901646</v>
      </c>
      <c r="BC45" s="115">
        <f t="shared" si="42"/>
        <v>-7.1564404248246731</v>
      </c>
      <c r="BD45" s="115">
        <f t="shared" si="42"/>
        <v>0</v>
      </c>
      <c r="BE45" s="119">
        <f t="shared" si="42"/>
        <v>-13.847526510814845</v>
      </c>
      <c r="BG45" s="115">
        <f t="shared" si="23"/>
        <v>-33.190394952015751</v>
      </c>
      <c r="BH45" s="115">
        <v>-27.67</v>
      </c>
      <c r="BI45" s="115">
        <v>-33.159999999999997</v>
      </c>
      <c r="BJ45" s="120">
        <f t="shared" si="51"/>
        <v>-94.020394952015749</v>
      </c>
      <c r="BK45" s="115">
        <f t="shared" si="25"/>
        <v>0</v>
      </c>
      <c r="BL45" s="115">
        <f t="shared" si="25"/>
        <v>-2.4690517451010976</v>
      </c>
      <c r="BM45" s="115">
        <f t="shared" si="26"/>
        <v>-37.013148340757596</v>
      </c>
      <c r="BN45" s="121">
        <f t="shared" si="27"/>
        <v>27.874083035346587</v>
      </c>
      <c r="BP45" s="115">
        <f t="shared" si="28"/>
        <v>-33.190394952015751</v>
      </c>
      <c r="BQ45" s="115">
        <f t="shared" si="28"/>
        <v>-32.955916964653404</v>
      </c>
      <c r="BR45" s="115" t="e">
        <f>#REF!</f>
        <v>#REF!</v>
      </c>
      <c r="BS45" s="120" t="e">
        <f t="shared" si="52"/>
        <v>#REF!</v>
      </c>
      <c r="BT45" s="115">
        <f t="shared" si="30"/>
        <v>0</v>
      </c>
      <c r="BU45" s="115">
        <f t="shared" si="30"/>
        <v>-2.4690517451010976</v>
      </c>
      <c r="BV45" s="115" t="e">
        <f t="shared" si="30"/>
        <v>#REF!</v>
      </c>
      <c r="BW45" s="121" t="e">
        <f t="shared" si="30"/>
        <v>#REF!</v>
      </c>
      <c r="BY45" s="121" t="e">
        <f t="shared" si="31"/>
        <v>#REF!</v>
      </c>
      <c r="CA45" s="118">
        <f>'[1]FC2+10'!AA44</f>
        <v>-87.779105606975477</v>
      </c>
      <c r="CC45" s="121">
        <f t="shared" si="32"/>
        <v>-21.632793690306315</v>
      </c>
      <c r="CE45" s="115">
        <f>SUM(CE40:CE44)</f>
        <v>-31.353378545392786</v>
      </c>
      <c r="CF45" s="115">
        <f>SUM(CF40:CF44)</f>
        <v>-30.486865219552307</v>
      </c>
      <c r="CG45" s="115">
        <f>SUM(CG40:CG44)</f>
        <v>0</v>
      </c>
      <c r="CH45" s="124">
        <f t="shared" si="56"/>
        <v>-61.840243764945093</v>
      </c>
      <c r="CI45" s="115">
        <f t="shared" si="57"/>
        <v>-1.8370164066229648</v>
      </c>
      <c r="CJ45" s="115">
        <f t="shared" si="57"/>
        <v>-2.4690517451010976</v>
      </c>
      <c r="CK45" s="115">
        <f t="shared" si="57"/>
        <v>0</v>
      </c>
      <c r="CL45" s="124">
        <f t="shared" si="57"/>
        <v>-4.3060681517240695</v>
      </c>
      <c r="CM45" s="47">
        <f>SUM(CM40:CM44)</f>
        <v>-90.252248119401912</v>
      </c>
      <c r="CN45" s="47">
        <f t="shared" si="35"/>
        <v>24.10593620273275</v>
      </c>
    </row>
    <row r="46" spans="2:95" outlineLevel="2">
      <c r="B46" s="242" t="s">
        <v>102</v>
      </c>
      <c r="C46" s="219"/>
      <c r="D46" s="219"/>
      <c r="E46" s="219"/>
      <c r="F46" s="144">
        <f>SUM(F45,F39,F35)</f>
        <v>-114.02454035801577</v>
      </c>
      <c r="G46" s="144">
        <f>SUM(G45,G39,G35)</f>
        <v>-113.49839668565342</v>
      </c>
      <c r="H46" s="144">
        <f>SUM(H45,H39,H35)</f>
        <v>0</v>
      </c>
      <c r="I46" s="114">
        <f t="shared" si="44"/>
        <v>-227.52293704366917</v>
      </c>
      <c r="K46" s="145">
        <f>SUM(K45,K39,K35)</f>
        <v>-130.09190583689141</v>
      </c>
      <c r="L46" s="145">
        <f>SUM(L45,L39,L35)</f>
        <v>-121.78358122467424</v>
      </c>
      <c r="M46" s="145">
        <f>SUM(M45,M39,M35)</f>
        <v>0</v>
      </c>
      <c r="N46" s="146">
        <f t="shared" si="45"/>
        <v>-251.87548706156565</v>
      </c>
      <c r="O46" s="145">
        <f t="shared" si="36"/>
        <v>16.067365478875644</v>
      </c>
      <c r="P46" s="145">
        <f t="shared" si="36"/>
        <v>8.2851845390208183</v>
      </c>
      <c r="Q46" s="145">
        <f t="shared" si="36"/>
        <v>0</v>
      </c>
      <c r="R46" s="117">
        <f t="shared" si="37"/>
        <v>24.352550017896476</v>
      </c>
      <c r="S46" s="148"/>
      <c r="T46" s="145">
        <f>SUM(T45,T39,T35)</f>
        <v>-108.60073006810475</v>
      </c>
      <c r="U46" s="145">
        <f>SUM(U45,U39,U35)</f>
        <v>-106.06175182656543</v>
      </c>
      <c r="V46" s="145">
        <f>SUM(V45,V39,V35)</f>
        <v>0</v>
      </c>
      <c r="W46" s="149">
        <f t="shared" si="47"/>
        <v>-214.66248189467018</v>
      </c>
      <c r="X46" s="145">
        <f t="shared" si="38"/>
        <v>-5.4238102899110174</v>
      </c>
      <c r="Y46" s="145">
        <f t="shared" si="38"/>
        <v>-7.4366448590879912</v>
      </c>
      <c r="Z46" s="145">
        <f t="shared" si="38"/>
        <v>0</v>
      </c>
      <c r="AA46" s="119">
        <f t="shared" si="39"/>
        <v>-12.860455148998994</v>
      </c>
      <c r="AB46" s="148"/>
      <c r="AC46" s="145">
        <f>SUM(AC45,AC39,AC35)</f>
        <v>-114.02454035801577</v>
      </c>
      <c r="AD46" s="145">
        <f>SUM(AD45,AD39,AD35)</f>
        <v>-117.86248344647906</v>
      </c>
      <c r="AE46" s="145">
        <f>SUM(AE45,AE39,AE35)</f>
        <v>0</v>
      </c>
      <c r="AF46" s="151">
        <f t="shared" si="48"/>
        <v>-231.88702380449485</v>
      </c>
      <c r="AG46" s="145">
        <f t="shared" si="40"/>
        <v>0</v>
      </c>
      <c r="AH46" s="145">
        <f t="shared" si="40"/>
        <v>4.3640867608256428</v>
      </c>
      <c r="AI46" s="145">
        <f t="shared" si="40"/>
        <v>0</v>
      </c>
      <c r="AJ46" s="152">
        <f t="shared" si="40"/>
        <v>4.3640867608256713</v>
      </c>
      <c r="AK46" s="148"/>
      <c r="AL46" s="145">
        <f>SUM(AL45,AL39,AL35)</f>
        <v>-129.30030968575758</v>
      </c>
      <c r="AM46" s="145">
        <f>SUM(AM45,AM39,AM35)</f>
        <v>-124.72961820020181</v>
      </c>
      <c r="AN46" s="145">
        <f>SUM(AN45,AN39,AN35)</f>
        <v>0</v>
      </c>
      <c r="AO46" s="154">
        <f t="shared" si="49"/>
        <v>-254.02992788595941</v>
      </c>
      <c r="AP46" s="145">
        <f t="shared" si="41"/>
        <v>15.275769327741813</v>
      </c>
      <c r="AQ46" s="145">
        <f t="shared" si="41"/>
        <v>11.231221514548395</v>
      </c>
      <c r="AR46" s="145">
        <f t="shared" si="41"/>
        <v>0</v>
      </c>
      <c r="AS46" s="155">
        <f t="shared" si="41"/>
        <v>26.506990842290236</v>
      </c>
      <c r="AU46" s="145">
        <f>[1]Act!L45</f>
        <v>-105.88469643705881</v>
      </c>
      <c r="AV46" s="156">
        <f t="shared" si="20"/>
        <v>105.88469643705881</v>
      </c>
      <c r="AW46" s="148"/>
      <c r="AX46" s="145">
        <f>SUM(AX45,AX39,AX35)</f>
        <v>-108.8521590608735</v>
      </c>
      <c r="AY46" s="145">
        <f>SUM(AY45,AY39,AY35)</f>
        <v>-109.78286970516992</v>
      </c>
      <c r="AZ46" s="145">
        <f>SUM(AZ45,AZ39,AZ35)</f>
        <v>0</v>
      </c>
      <c r="BA46" s="149">
        <f t="shared" si="50"/>
        <v>-218.63502876604343</v>
      </c>
      <c r="BB46" s="145">
        <f t="shared" si="42"/>
        <v>-5.172381297142266</v>
      </c>
      <c r="BC46" s="145">
        <f t="shared" si="42"/>
        <v>-3.7155269804835029</v>
      </c>
      <c r="BD46" s="145">
        <f t="shared" si="42"/>
        <v>0</v>
      </c>
      <c r="BE46" s="119">
        <f t="shared" si="42"/>
        <v>-8.8879082776257405</v>
      </c>
      <c r="BG46" s="145">
        <f t="shared" si="23"/>
        <v>-114.02454035801577</v>
      </c>
      <c r="BH46" s="145">
        <v>-108.3894311586722</v>
      </c>
      <c r="BI46" s="145">
        <v>-130.01968586857004</v>
      </c>
      <c r="BJ46" s="151">
        <f t="shared" si="51"/>
        <v>-352.43365738525802</v>
      </c>
      <c r="BK46" s="145">
        <f t="shared" si="25"/>
        <v>0</v>
      </c>
      <c r="BL46" s="145">
        <f t="shared" si="25"/>
        <v>4.3640867608256428</v>
      </c>
      <c r="BM46" s="145">
        <f t="shared" si="26"/>
        <v>-129.30030968575758</v>
      </c>
      <c r="BN46" s="152">
        <f t="shared" si="27"/>
        <v>124.91072034158884</v>
      </c>
      <c r="BP46" s="145">
        <f t="shared" si="28"/>
        <v>-114.02454035801577</v>
      </c>
      <c r="BQ46" s="145">
        <f t="shared" si="28"/>
        <v>-113.49839668565342</v>
      </c>
      <c r="BR46" s="145" t="e">
        <f>#REF!</f>
        <v>#REF!</v>
      </c>
      <c r="BS46" s="151" t="e">
        <f t="shared" si="52"/>
        <v>#REF!</v>
      </c>
      <c r="BT46" s="145">
        <f t="shared" si="30"/>
        <v>0</v>
      </c>
      <c r="BU46" s="145">
        <f t="shared" si="30"/>
        <v>4.3640867608256428</v>
      </c>
      <c r="BV46" s="145" t="e">
        <f t="shared" si="30"/>
        <v>#REF!</v>
      </c>
      <c r="BW46" s="152" t="e">
        <f t="shared" si="30"/>
        <v>#REF!</v>
      </c>
      <c r="BY46" s="152" t="e">
        <f t="shared" si="31"/>
        <v>#REF!</v>
      </c>
      <c r="CA46" s="149">
        <f>'[1]FC2+10'!AA45</f>
        <v>-333.28427887802638</v>
      </c>
      <c r="CC46" s="152">
        <f t="shared" si="32"/>
        <v>-105.76134183435721</v>
      </c>
      <c r="CE46" s="145">
        <f>SUM(CE45,CE39,CE35)</f>
        <v>-113.04869549877603</v>
      </c>
      <c r="CF46" s="145">
        <f>SUM(CF45,CF39,CF35)</f>
        <v>-112.82309321738444</v>
      </c>
      <c r="CG46" s="145">
        <f>SUM(CG45,CG39,CG35)</f>
        <v>0</v>
      </c>
      <c r="CH46" s="157">
        <f t="shared" si="56"/>
        <v>-225.87178871616047</v>
      </c>
      <c r="CI46" s="145">
        <f t="shared" si="57"/>
        <v>-0.97584485923974285</v>
      </c>
      <c r="CJ46" s="145">
        <f t="shared" si="57"/>
        <v>-0.67530346826897869</v>
      </c>
      <c r="CK46" s="145">
        <f t="shared" si="57"/>
        <v>0</v>
      </c>
      <c r="CL46" s="124">
        <f t="shared" si="57"/>
        <v>-1.6511483275087073</v>
      </c>
      <c r="CM46" s="47">
        <f>SUM(CM45,CM39,CM35)</f>
        <v>-330.89687133901754</v>
      </c>
      <c r="CN46" s="47">
        <f t="shared" si="35"/>
        <v>103.37393429534836</v>
      </c>
    </row>
    <row r="47" spans="2:95" outlineLevel="2">
      <c r="B47" s="143" t="s">
        <v>103</v>
      </c>
      <c r="C47" s="143"/>
      <c r="D47" s="112"/>
      <c r="E47" s="112"/>
      <c r="F47" s="144">
        <f>F27+F46</f>
        <v>30.258471345228827</v>
      </c>
      <c r="G47" s="144">
        <f>G27+G46</f>
        <v>48.718668958482723</v>
      </c>
      <c r="H47" s="144">
        <f>H27+H46</f>
        <v>0</v>
      </c>
      <c r="I47" s="114">
        <f t="shared" si="44"/>
        <v>78.97714030371155</v>
      </c>
      <c r="K47" s="145">
        <f>K27+K46</f>
        <v>49.539712912367605</v>
      </c>
      <c r="L47" s="145">
        <f>L27+L46</f>
        <v>58.543862752947547</v>
      </c>
      <c r="M47" s="145">
        <f>M27+M46</f>
        <v>0</v>
      </c>
      <c r="N47" s="146">
        <f t="shared" si="45"/>
        <v>108.08357566531515</v>
      </c>
      <c r="O47" s="145">
        <f t="shared" si="36"/>
        <v>-19.281241567138778</v>
      </c>
      <c r="P47" s="145">
        <f t="shared" si="36"/>
        <v>-9.8251937944648233</v>
      </c>
      <c r="Q47" s="145">
        <f t="shared" si="36"/>
        <v>0</v>
      </c>
      <c r="R47" s="117">
        <f t="shared" si="37"/>
        <v>-29.106435361603602</v>
      </c>
      <c r="S47" s="148"/>
      <c r="T47" s="145" t="e">
        <f>T27+T46</f>
        <v>#VALUE!</v>
      </c>
      <c r="U47" s="145" t="e">
        <f>U27+U46</f>
        <v>#VALUE!</v>
      </c>
      <c r="V47" s="145">
        <f>V27+V46</f>
        <v>0</v>
      </c>
      <c r="W47" s="149" t="e">
        <f t="shared" si="47"/>
        <v>#VALUE!</v>
      </c>
      <c r="X47" s="145">
        <f t="shared" si="38"/>
        <v>0</v>
      </c>
      <c r="Y47" s="145">
        <f t="shared" si="38"/>
        <v>0</v>
      </c>
      <c r="Z47" s="145">
        <f t="shared" si="38"/>
        <v>0</v>
      </c>
      <c r="AA47" s="156" t="e">
        <f t="shared" si="39"/>
        <v>#VALUE!</v>
      </c>
      <c r="AB47" s="148"/>
      <c r="AC47" s="145">
        <f>AC27+AC46</f>
        <v>30.258471345228827</v>
      </c>
      <c r="AD47" s="145">
        <f>AD27+AD46</f>
        <v>23.286651968830668</v>
      </c>
      <c r="AE47" s="145">
        <f>AE27+AE46</f>
        <v>0</v>
      </c>
      <c r="AF47" s="151">
        <f t="shared" si="48"/>
        <v>53.545123314059495</v>
      </c>
      <c r="AG47" s="145">
        <f t="shared" si="40"/>
        <v>0</v>
      </c>
      <c r="AH47" s="145">
        <f t="shared" si="40"/>
        <v>25.432016989652055</v>
      </c>
      <c r="AI47" s="145">
        <f t="shared" si="40"/>
        <v>0</v>
      </c>
      <c r="AJ47" s="152">
        <f t="shared" si="40"/>
        <v>25.432016989652055</v>
      </c>
      <c r="AK47" s="148"/>
      <c r="AL47" s="145">
        <f>AL27+AL46</f>
        <v>12.259656421026904</v>
      </c>
      <c r="AM47" s="145">
        <f>AM27+AM46</f>
        <v>39.503262954953797</v>
      </c>
      <c r="AN47" s="145">
        <f>AN27+AN46</f>
        <v>0</v>
      </c>
      <c r="AO47" s="154">
        <f t="shared" si="49"/>
        <v>51.762919375980701</v>
      </c>
      <c r="AP47" s="145">
        <f t="shared" si="41"/>
        <v>17.998814924201923</v>
      </c>
      <c r="AQ47" s="145">
        <f t="shared" si="41"/>
        <v>9.2154060035289262</v>
      </c>
      <c r="AR47" s="145">
        <f t="shared" si="41"/>
        <v>0</v>
      </c>
      <c r="AS47" s="155">
        <f t="shared" si="41"/>
        <v>27.21422092773085</v>
      </c>
      <c r="AU47" s="145">
        <f>[1]Act!L46</f>
        <v>30.690191763655406</v>
      </c>
      <c r="AV47" s="156">
        <f t="shared" si="20"/>
        <v>-30.690191763655406</v>
      </c>
      <c r="AW47" s="148"/>
      <c r="AX47" s="145">
        <f>AX27+AX46</f>
        <v>50.262598406896274</v>
      </c>
      <c r="AY47" s="145">
        <f>AY27+AY46</f>
        <v>45.229205927911252</v>
      </c>
      <c r="AZ47" s="145">
        <f>AZ27+AZ46</f>
        <v>0</v>
      </c>
      <c r="BA47" s="149">
        <f t="shared" si="50"/>
        <v>95.491804334807526</v>
      </c>
      <c r="BB47" s="153">
        <f t="shared" si="42"/>
        <v>-20.004127061667447</v>
      </c>
      <c r="BC47" s="145">
        <f t="shared" si="42"/>
        <v>3.4894630305714713</v>
      </c>
      <c r="BD47" s="145">
        <f t="shared" si="42"/>
        <v>0</v>
      </c>
      <c r="BE47" s="156">
        <f t="shared" si="42"/>
        <v>-16.514664031095975</v>
      </c>
      <c r="BG47" s="145">
        <f t="shared" si="23"/>
        <v>30.258471345228827</v>
      </c>
      <c r="BH47" s="145">
        <v>14.40784946660456</v>
      </c>
      <c r="BI47" s="145">
        <v>-59.715038018913674</v>
      </c>
      <c r="BJ47" s="151">
        <f t="shared" si="51"/>
        <v>-15.048717207080287</v>
      </c>
      <c r="BK47" s="145">
        <f t="shared" si="25"/>
        <v>0</v>
      </c>
      <c r="BL47" s="145">
        <f t="shared" si="25"/>
        <v>25.432016989652055</v>
      </c>
      <c r="BM47" s="145">
        <f t="shared" si="26"/>
        <v>12.259656421026904</v>
      </c>
      <c r="BN47" s="152">
        <f t="shared" si="27"/>
        <v>94.025857510791838</v>
      </c>
      <c r="BP47" s="145">
        <f t="shared" si="28"/>
        <v>30.258471345228827</v>
      </c>
      <c r="BQ47" s="145">
        <f t="shared" si="28"/>
        <v>48.718668958482723</v>
      </c>
      <c r="BR47" s="145" t="e">
        <f>#REF!</f>
        <v>#REF!</v>
      </c>
      <c r="BS47" s="151" t="e">
        <f t="shared" si="52"/>
        <v>#REF!</v>
      </c>
      <c r="BT47" s="145">
        <f t="shared" si="30"/>
        <v>0</v>
      </c>
      <c r="BU47" s="145">
        <f t="shared" si="30"/>
        <v>25.432016989652055</v>
      </c>
      <c r="BV47" s="145" t="e">
        <f t="shared" si="30"/>
        <v>#REF!</v>
      </c>
      <c r="BW47" s="152" t="e">
        <f t="shared" si="30"/>
        <v>#REF!</v>
      </c>
      <c r="BY47" s="152" t="e">
        <f t="shared" si="31"/>
        <v>#REF!</v>
      </c>
      <c r="CA47" s="149" t="e">
        <f>'[1]FC2+10'!AA46</f>
        <v>#VALUE!</v>
      </c>
      <c r="CC47" s="152" t="e">
        <f t="shared" si="32"/>
        <v>#VALUE!</v>
      </c>
      <c r="CE47" s="145">
        <f>CE27+CE46</f>
        <v>47.248270823633703</v>
      </c>
      <c r="CF47" s="145">
        <f>CF27+CF46</f>
        <v>58.063265845201727</v>
      </c>
      <c r="CG47" s="145">
        <f>CG27+CG46</f>
        <v>0</v>
      </c>
      <c r="CH47" s="243">
        <f t="shared" si="56"/>
        <v>105.31153666883543</v>
      </c>
      <c r="CI47" s="153">
        <f t="shared" si="57"/>
        <v>-16.989799478404876</v>
      </c>
      <c r="CJ47" s="145">
        <f t="shared" si="57"/>
        <v>-9.3445968867190032</v>
      </c>
      <c r="CK47" s="145">
        <f t="shared" si="57"/>
        <v>0</v>
      </c>
      <c r="CL47" s="157">
        <f t="shared" si="57"/>
        <v>-26.334396365123879</v>
      </c>
      <c r="CM47" s="47">
        <f>CM27+CM46</f>
        <v>228.88044298424182</v>
      </c>
      <c r="CN47" s="47">
        <f t="shared" si="35"/>
        <v>-149.90330268053026</v>
      </c>
    </row>
    <row r="48" spans="2:95" outlineLevel="2">
      <c r="B48" s="159"/>
      <c r="C48" s="160" t="s">
        <v>44</v>
      </c>
      <c r="D48" s="161"/>
      <c r="E48" s="161"/>
      <c r="F48" s="162">
        <f>F47/F23</f>
        <v>4.1279740976024742E-2</v>
      </c>
      <c r="G48" s="162">
        <f>G47/G23</f>
        <v>6.3878702434003995E-2</v>
      </c>
      <c r="H48" s="162" t="e">
        <f>H47/H23</f>
        <v>#DIV/0!</v>
      </c>
      <c r="I48" s="163">
        <f>I47/I23</f>
        <v>5.2803328523578524E-2</v>
      </c>
      <c r="J48" s="164"/>
      <c r="K48" s="167">
        <f>K47/K23</f>
        <v>4.9293723683606676E-2</v>
      </c>
      <c r="L48" s="167">
        <f>L47/L23</f>
        <v>5.5208415925271433E-2</v>
      </c>
      <c r="M48" s="167" t="e">
        <f>M47/M23</f>
        <v>#DIV/0!</v>
      </c>
      <c r="N48" s="244">
        <f>N47/N23</f>
        <v>5.2330430345266431E-2</v>
      </c>
      <c r="O48" s="167">
        <f t="shared" si="36"/>
        <v>-8.0139827075819334E-3</v>
      </c>
      <c r="P48" s="167">
        <f t="shared" si="36"/>
        <v>8.6702865087325623E-3</v>
      </c>
      <c r="Q48" s="167">
        <f t="shared" si="36"/>
        <v>0</v>
      </c>
      <c r="R48" s="168">
        <f t="shared" si="37"/>
        <v>4.7289817831209363E-4</v>
      </c>
      <c r="S48" s="245"/>
      <c r="T48" s="167" t="e">
        <f>T47/T23</f>
        <v>#VALUE!</v>
      </c>
      <c r="U48" s="167" t="e">
        <f>U47/U23</f>
        <v>#VALUE!</v>
      </c>
      <c r="V48" s="167" t="e">
        <f>V47/V23</f>
        <v>#DIV/0!</v>
      </c>
      <c r="W48" s="246" t="e">
        <f>W47/W23</f>
        <v>#VALUE!</v>
      </c>
      <c r="X48" s="167">
        <f t="shared" si="38"/>
        <v>0</v>
      </c>
      <c r="Y48" s="167">
        <f t="shared" si="38"/>
        <v>0</v>
      </c>
      <c r="Z48" s="167">
        <f t="shared" si="38"/>
        <v>0</v>
      </c>
      <c r="AA48" s="175" t="e">
        <f t="shared" si="39"/>
        <v>#VALUE!</v>
      </c>
      <c r="AB48" s="245"/>
      <c r="AC48" s="167">
        <f>AC47/AC23</f>
        <v>4.1279740976024742E-2</v>
      </c>
      <c r="AD48" s="167">
        <f>AD47/AD23</f>
        <v>2.7178566816469799E-2</v>
      </c>
      <c r="AE48" s="167" t="e">
        <f>AE47/AE23</f>
        <v>#DIV/0!</v>
      </c>
      <c r="AF48" s="247">
        <f>AF47/AF23</f>
        <v>3.368015495735336E-2</v>
      </c>
      <c r="AG48" s="167">
        <f t="shared" si="40"/>
        <v>0</v>
      </c>
      <c r="AH48" s="167">
        <f t="shared" si="40"/>
        <v>3.6700135617534199E-2</v>
      </c>
      <c r="AI48" s="167">
        <f t="shared" si="40"/>
        <v>0</v>
      </c>
      <c r="AJ48" s="248">
        <f t="shared" si="40"/>
        <v>1.9123173566225164E-2</v>
      </c>
      <c r="AK48" s="245"/>
      <c r="AL48" s="167">
        <f>AL47/AL23</f>
        <v>1.5869446747477908E-2</v>
      </c>
      <c r="AM48" s="167">
        <f>AM47/AM23</f>
        <v>4.4940426817483975E-2</v>
      </c>
      <c r="AN48" s="167" t="e">
        <f>AN47/AN23</f>
        <v>#DIV/0!</v>
      </c>
      <c r="AO48" s="249">
        <f>AO47/AO23</f>
        <v>3.1342099095616416E-2</v>
      </c>
      <c r="AP48" s="167">
        <f t="shared" si="41"/>
        <v>2.5410294228546834E-2</v>
      </c>
      <c r="AQ48" s="167">
        <f t="shared" si="41"/>
        <v>1.893827561652002E-2</v>
      </c>
      <c r="AR48" s="167">
        <f t="shared" si="41"/>
        <v>0</v>
      </c>
      <c r="AS48" s="250">
        <f t="shared" si="41"/>
        <v>2.1461229427962109E-2</v>
      </c>
      <c r="AU48" s="167">
        <f>[1]Act!L47</f>
        <v>3.6979229598765526E-2</v>
      </c>
      <c r="AV48" s="175" t="e">
        <f t="shared" si="20"/>
        <v>#DIV/0!</v>
      </c>
      <c r="AW48" s="245"/>
      <c r="AX48" s="167">
        <f>AX47/AX23</f>
        <v>6.0115096922947982E-2</v>
      </c>
      <c r="AY48" s="167">
        <f>AY47/AY23</f>
        <v>4.6674977754066378E-2</v>
      </c>
      <c r="AZ48" s="167" t="e">
        <f>AZ47/AZ23</f>
        <v>#DIV/0!</v>
      </c>
      <c r="BA48" s="246">
        <f>BA47/BA23</f>
        <v>5.2900213938408526E-2</v>
      </c>
      <c r="BB48" s="167">
        <f t="shared" si="42"/>
        <v>-1.8835355946923239E-2</v>
      </c>
      <c r="BC48" s="167">
        <f t="shared" si="42"/>
        <v>1.7203724679937617E-2</v>
      </c>
      <c r="BD48" s="167">
        <f t="shared" si="42"/>
        <v>0</v>
      </c>
      <c r="BE48" s="175">
        <f t="shared" si="42"/>
        <v>-9.6885414830001626E-5</v>
      </c>
      <c r="BG48" s="167">
        <f t="shared" si="23"/>
        <v>4.1279740976024742E-2</v>
      </c>
      <c r="BH48" s="167">
        <v>2.3425941973025693E-2</v>
      </c>
      <c r="BI48" s="167">
        <v>-6.4368094822042657E-2</v>
      </c>
      <c r="BJ48" s="247">
        <f>BJ47/BJ23</f>
        <v>-6.6126112144422626E-3</v>
      </c>
      <c r="BK48" s="167">
        <f t="shared" si="25"/>
        <v>0</v>
      </c>
      <c r="BL48" s="167">
        <f t="shared" si="25"/>
        <v>3.6700135617534199E-2</v>
      </c>
      <c r="BM48" s="167">
        <f t="shared" si="26"/>
        <v>0</v>
      </c>
      <c r="BN48" s="248">
        <f>IFERROR(I48-BJ48,0)</f>
        <v>5.9415939738020784E-2</v>
      </c>
      <c r="BP48" s="167">
        <f t="shared" si="28"/>
        <v>4.1279740976024742E-2</v>
      </c>
      <c r="BQ48" s="167">
        <f t="shared" si="28"/>
        <v>6.3878702434003995E-2</v>
      </c>
      <c r="BR48" s="167" t="e">
        <f>#REF!</f>
        <v>#REF!</v>
      </c>
      <c r="BS48" s="247" t="e">
        <f>BS47/BS23</f>
        <v>#REF!</v>
      </c>
      <c r="BT48" s="167">
        <f t="shared" si="30"/>
        <v>0</v>
      </c>
      <c r="BU48" s="167">
        <f t="shared" si="30"/>
        <v>3.6700135617534199E-2</v>
      </c>
      <c r="BV48" s="167" t="e">
        <f t="shared" si="30"/>
        <v>#REF!</v>
      </c>
      <c r="BW48" s="248" t="e">
        <f t="shared" si="30"/>
        <v>#REF!</v>
      </c>
      <c r="BY48" s="248" t="e">
        <f t="shared" si="31"/>
        <v>#DIV/0!</v>
      </c>
      <c r="CA48" s="246" t="e">
        <f>'[1]FC2+10'!AA47</f>
        <v>#VALUE!</v>
      </c>
      <c r="CC48" s="248" t="e">
        <f t="shared" si="32"/>
        <v>#VALUE!</v>
      </c>
      <c r="CE48" s="167">
        <f>CE47/CE23</f>
        <v>6.0940297700485764E-2</v>
      </c>
      <c r="CF48" s="167">
        <f>CF47/CF23</f>
        <v>6.6891900073574928E-2</v>
      </c>
      <c r="CG48" s="167" t="e">
        <f>CG47/CG23</f>
        <v>#DIV/0!</v>
      </c>
      <c r="CH48" s="251">
        <f>CH47/CH23</f>
        <v>6.4083954972788085E-2</v>
      </c>
      <c r="CI48" s="167">
        <f t="shared" si="57"/>
        <v>-1.9660556724461022E-2</v>
      </c>
      <c r="CJ48" s="167">
        <f t="shared" si="57"/>
        <v>-3.0131976395709331E-3</v>
      </c>
      <c r="CK48" s="167">
        <f t="shared" si="57"/>
        <v>0</v>
      </c>
      <c r="CL48" s="251">
        <f t="shared" si="57"/>
        <v>-1.128062644920956E-2</v>
      </c>
      <c r="CM48" s="177">
        <f>CM47/CM23</f>
        <v>8.0805847995730096E-2</v>
      </c>
      <c r="CN48" s="177">
        <f t="shared" si="35"/>
        <v>-2.8002519472151571E-2</v>
      </c>
    </row>
    <row r="49" spans="1:92" ht="14.1" customHeight="1" outlineLevel="1">
      <c r="F49" s="62"/>
      <c r="G49" s="62"/>
      <c r="H49" s="62"/>
      <c r="I49" s="252"/>
      <c r="K49" s="73"/>
      <c r="L49" s="73"/>
      <c r="M49" s="73"/>
      <c r="N49" s="73"/>
      <c r="R49" s="73"/>
      <c r="S49" s="73"/>
      <c r="T49" s="73"/>
      <c r="U49" s="73"/>
      <c r="V49" s="73"/>
      <c r="W49" s="73"/>
      <c r="AA49" s="73"/>
      <c r="AB49" s="73"/>
      <c r="AC49" s="73"/>
      <c r="AD49" s="73"/>
      <c r="AE49" s="73">
        <v>0</v>
      </c>
      <c r="AF49" s="73"/>
      <c r="AJ49" s="73"/>
      <c r="AK49" s="73"/>
      <c r="AL49" s="73"/>
      <c r="AM49" s="73"/>
      <c r="AN49" s="73"/>
      <c r="AO49" s="73"/>
      <c r="AS49" s="73"/>
      <c r="AU49" s="73">
        <f>[1]Act!L48</f>
        <v>0</v>
      </c>
      <c r="AV49" s="64">
        <f t="shared" si="20"/>
        <v>0</v>
      </c>
      <c r="AW49" s="73"/>
      <c r="AX49" s="73"/>
      <c r="AY49" s="73"/>
      <c r="AZ49" s="73"/>
      <c r="BA49" s="73"/>
      <c r="BE49" s="73"/>
      <c r="BG49" s="73">
        <f t="shared" si="23"/>
        <v>0</v>
      </c>
      <c r="BH49" s="73"/>
      <c r="BI49" s="73"/>
      <c r="BJ49" s="73"/>
      <c r="BK49" s="1">
        <f t="shared" si="25"/>
        <v>0</v>
      </c>
      <c r="BL49" s="1">
        <f t="shared" si="25"/>
        <v>0</v>
      </c>
      <c r="BM49" s="1">
        <f t="shared" si="26"/>
        <v>0</v>
      </c>
      <c r="BN49" s="73"/>
      <c r="BP49" s="73"/>
      <c r="BQ49" s="73"/>
      <c r="BR49" s="73"/>
      <c r="BS49" s="73"/>
      <c r="BW49" s="73"/>
      <c r="BY49" s="73"/>
      <c r="CA49" s="73">
        <f>'[1]FC2+10'!AA48</f>
        <v>0</v>
      </c>
      <c r="CC49" s="73">
        <f t="shared" si="32"/>
        <v>0</v>
      </c>
      <c r="CE49" s="73"/>
      <c r="CF49" s="73"/>
      <c r="CG49" s="73"/>
      <c r="CH49" s="253"/>
      <c r="CL49" s="253"/>
      <c r="CM49" s="254"/>
      <c r="CN49" s="254">
        <f t="shared" si="35"/>
        <v>0</v>
      </c>
    </row>
    <row r="50" spans="1:92" ht="14.1" customHeight="1" outlineLevel="1">
      <c r="B50" s="255"/>
      <c r="C50" s="256" t="s">
        <v>104</v>
      </c>
      <c r="D50" s="257"/>
      <c r="E50" s="257"/>
      <c r="F50" s="258"/>
      <c r="G50" s="258"/>
      <c r="H50" s="258"/>
      <c r="I50" s="213"/>
      <c r="K50" s="259"/>
      <c r="L50" s="259"/>
      <c r="M50" s="259"/>
      <c r="N50" s="260"/>
      <c r="O50" s="261"/>
      <c r="P50" s="261"/>
      <c r="Q50" s="261"/>
      <c r="R50" s="262">
        <f>F50-K50</f>
        <v>0</v>
      </c>
      <c r="S50" s="73"/>
      <c r="T50" s="259"/>
      <c r="U50" s="259"/>
      <c r="V50" s="259"/>
      <c r="W50" s="263"/>
      <c r="X50" s="261"/>
      <c r="Y50" s="261"/>
      <c r="Z50" s="261"/>
      <c r="AA50" s="264">
        <f>O50-T50</f>
        <v>0</v>
      </c>
      <c r="AB50" s="73"/>
      <c r="AC50" s="259"/>
      <c r="AD50" s="259"/>
      <c r="AE50" s="259">
        <v>0</v>
      </c>
      <c r="AF50" s="263"/>
      <c r="AG50" s="261"/>
      <c r="AH50" s="261"/>
      <c r="AI50" s="261"/>
      <c r="AJ50" s="264">
        <f>X50-AC50</f>
        <v>0</v>
      </c>
      <c r="AK50" s="73"/>
      <c r="AL50" s="259"/>
      <c r="AM50" s="259"/>
      <c r="AN50" s="259"/>
      <c r="AO50" s="263"/>
      <c r="AP50" s="261"/>
      <c r="AQ50" s="261"/>
      <c r="AR50" s="261"/>
      <c r="AS50" s="264">
        <f>AG50-AL50</f>
        <v>0</v>
      </c>
      <c r="AU50" s="259">
        <f>[1]Act!L49</f>
        <v>0</v>
      </c>
      <c r="AV50" s="265">
        <f t="shared" si="20"/>
        <v>0</v>
      </c>
      <c r="AW50" s="73"/>
      <c r="AX50" s="259"/>
      <c r="AY50" s="259"/>
      <c r="AZ50" s="259"/>
      <c r="BA50" s="263"/>
      <c r="BB50" s="261"/>
      <c r="BC50" s="261"/>
      <c r="BD50" s="261"/>
      <c r="BE50" s="264">
        <f>AS50-AX50</f>
        <v>0</v>
      </c>
      <c r="BG50" s="259">
        <f t="shared" si="23"/>
        <v>0</v>
      </c>
      <c r="BH50" s="259"/>
      <c r="BI50" s="259"/>
      <c r="BJ50" s="263"/>
      <c r="BK50" s="261">
        <f t="shared" si="25"/>
        <v>0</v>
      </c>
      <c r="BL50" s="261">
        <f t="shared" si="25"/>
        <v>0</v>
      </c>
      <c r="BM50" s="261">
        <f t="shared" si="26"/>
        <v>0</v>
      </c>
      <c r="BN50" s="264">
        <f>IFERROR(I50-BJ50,0)</f>
        <v>0</v>
      </c>
      <c r="BP50" s="259"/>
      <c r="BQ50" s="259"/>
      <c r="BR50" s="259"/>
      <c r="BS50" s="263"/>
      <c r="BT50" s="261"/>
      <c r="BU50" s="261"/>
      <c r="BV50" s="261"/>
      <c r="BW50" s="264"/>
      <c r="BY50" s="264">
        <f t="shared" si="31"/>
        <v>0</v>
      </c>
      <c r="CA50" s="263">
        <f>'[1]FC2+10'!AA49</f>
        <v>0</v>
      </c>
      <c r="CC50" s="264">
        <f t="shared" si="32"/>
        <v>0</v>
      </c>
      <c r="CE50" s="259"/>
      <c r="CF50" s="259"/>
      <c r="CG50" s="259"/>
      <c r="CH50" s="266"/>
      <c r="CI50" s="261"/>
      <c r="CJ50" s="261"/>
      <c r="CK50" s="261"/>
      <c r="CL50" s="266">
        <f>BZ50-CE50</f>
        <v>0</v>
      </c>
      <c r="CM50" s="47"/>
      <c r="CN50" s="47">
        <f t="shared" si="35"/>
        <v>0</v>
      </c>
    </row>
    <row r="51" spans="1:92" ht="14.1" customHeight="1" outlineLevel="1">
      <c r="B51" s="267"/>
      <c r="C51" s="256" t="s">
        <v>105</v>
      </c>
      <c r="D51" s="257"/>
      <c r="E51" s="257"/>
      <c r="F51" s="258"/>
      <c r="G51" s="258"/>
      <c r="H51" s="258"/>
      <c r="I51" s="213"/>
      <c r="K51" s="259"/>
      <c r="L51" s="259"/>
      <c r="M51" s="259"/>
      <c r="N51" s="260"/>
      <c r="O51" s="261"/>
      <c r="P51" s="261"/>
      <c r="Q51" s="261"/>
      <c r="R51" s="262">
        <f>F51-K51</f>
        <v>0</v>
      </c>
      <c r="S51" s="73"/>
      <c r="T51" s="259"/>
      <c r="U51" s="259"/>
      <c r="V51" s="259"/>
      <c r="W51" s="263"/>
      <c r="X51" s="261"/>
      <c r="Y51" s="261"/>
      <c r="Z51" s="261"/>
      <c r="AA51" s="264">
        <f>O51-T51</f>
        <v>0</v>
      </c>
      <c r="AB51" s="73"/>
      <c r="AC51" s="259"/>
      <c r="AD51" s="259"/>
      <c r="AE51" s="259">
        <v>0</v>
      </c>
      <c r="AF51" s="263"/>
      <c r="AG51" s="261"/>
      <c r="AH51" s="261"/>
      <c r="AI51" s="261"/>
      <c r="AJ51" s="264">
        <f>X51-AC51</f>
        <v>0</v>
      </c>
      <c r="AK51" s="73"/>
      <c r="AL51" s="259"/>
      <c r="AM51" s="259"/>
      <c r="AN51" s="259"/>
      <c r="AO51" s="263"/>
      <c r="AP51" s="261"/>
      <c r="AQ51" s="261"/>
      <c r="AR51" s="261"/>
      <c r="AS51" s="264">
        <f>AG51-AL51</f>
        <v>0</v>
      </c>
      <c r="AU51" s="259">
        <f>[1]Act!L50</f>
        <v>0</v>
      </c>
      <c r="AV51" s="265">
        <f t="shared" si="20"/>
        <v>0</v>
      </c>
      <c r="AW51" s="73"/>
      <c r="AX51" s="259"/>
      <c r="AY51" s="259"/>
      <c r="AZ51" s="259"/>
      <c r="BA51" s="263"/>
      <c r="BB51" s="261"/>
      <c r="BC51" s="261"/>
      <c r="BD51" s="261"/>
      <c r="BE51" s="264">
        <f>AS51-AX51</f>
        <v>0</v>
      </c>
      <c r="BG51" s="259">
        <f t="shared" si="23"/>
        <v>0</v>
      </c>
      <c r="BH51" s="259"/>
      <c r="BI51" s="259"/>
      <c r="BJ51" s="263"/>
      <c r="BK51" s="261">
        <f t="shared" si="25"/>
        <v>0</v>
      </c>
      <c r="BL51" s="261">
        <f t="shared" si="25"/>
        <v>0</v>
      </c>
      <c r="BM51" s="261">
        <f t="shared" si="26"/>
        <v>0</v>
      </c>
      <c r="BN51" s="264">
        <f>IFERROR(I51-BJ51,0)</f>
        <v>0</v>
      </c>
      <c r="BP51" s="259"/>
      <c r="BQ51" s="259"/>
      <c r="BR51" s="259"/>
      <c r="BS51" s="263"/>
      <c r="BT51" s="261"/>
      <c r="BU51" s="261"/>
      <c r="BV51" s="261"/>
      <c r="BW51" s="264"/>
      <c r="BY51" s="264">
        <f t="shared" si="31"/>
        <v>0</v>
      </c>
      <c r="CA51" s="263">
        <f>'[1]FC2+10'!AA50</f>
        <v>0</v>
      </c>
      <c r="CC51" s="264">
        <f t="shared" si="32"/>
        <v>0</v>
      </c>
      <c r="CE51" s="259"/>
      <c r="CF51" s="259"/>
      <c r="CG51" s="259"/>
      <c r="CH51" s="266"/>
      <c r="CI51" s="261"/>
      <c r="CJ51" s="261"/>
      <c r="CK51" s="261"/>
      <c r="CL51" s="266">
        <f>BZ51-CE51</f>
        <v>0</v>
      </c>
      <c r="CM51" s="47"/>
      <c r="CN51" s="47">
        <f t="shared" si="35"/>
        <v>0</v>
      </c>
    </row>
    <row r="52" spans="1:92" ht="14.1" customHeight="1" outlineLevel="1">
      <c r="B52" s="267"/>
      <c r="C52" s="256" t="s">
        <v>106</v>
      </c>
      <c r="D52" s="257"/>
      <c r="E52" s="257"/>
      <c r="F52" s="258"/>
      <c r="G52" s="258"/>
      <c r="H52" s="258"/>
      <c r="I52" s="213"/>
      <c r="K52" s="259"/>
      <c r="L52" s="259"/>
      <c r="M52" s="259"/>
      <c r="N52" s="260"/>
      <c r="O52" s="261"/>
      <c r="P52" s="261"/>
      <c r="Q52" s="261"/>
      <c r="R52" s="262">
        <f>F52-K52</f>
        <v>0</v>
      </c>
      <c r="S52" s="73"/>
      <c r="T52" s="259"/>
      <c r="U52" s="259"/>
      <c r="V52" s="259"/>
      <c r="W52" s="263"/>
      <c r="X52" s="261"/>
      <c r="Y52" s="261"/>
      <c r="Z52" s="261"/>
      <c r="AA52" s="264">
        <f>O52-T52</f>
        <v>0</v>
      </c>
      <c r="AB52" s="73"/>
      <c r="AC52" s="259"/>
      <c r="AD52" s="259"/>
      <c r="AE52" s="259">
        <v>0</v>
      </c>
      <c r="AF52" s="263"/>
      <c r="AG52" s="261"/>
      <c r="AH52" s="261"/>
      <c r="AI52" s="261"/>
      <c r="AJ52" s="264">
        <f>X52-AC52</f>
        <v>0</v>
      </c>
      <c r="AK52" s="73"/>
      <c r="AL52" s="259"/>
      <c r="AM52" s="259"/>
      <c r="AN52" s="259"/>
      <c r="AO52" s="263"/>
      <c r="AP52" s="261"/>
      <c r="AQ52" s="261"/>
      <c r="AR52" s="261"/>
      <c r="AS52" s="264">
        <f>AG52-AL52</f>
        <v>0</v>
      </c>
      <c r="AU52" s="259">
        <f>[1]Act!L51</f>
        <v>0</v>
      </c>
      <c r="AV52" s="265">
        <f t="shared" si="20"/>
        <v>0</v>
      </c>
      <c r="AW52" s="73"/>
      <c r="AX52" s="259"/>
      <c r="AY52" s="259"/>
      <c r="AZ52" s="259"/>
      <c r="BA52" s="263"/>
      <c r="BB52" s="261"/>
      <c r="BC52" s="261"/>
      <c r="BD52" s="261"/>
      <c r="BE52" s="264">
        <f>AS52-AX52</f>
        <v>0</v>
      </c>
      <c r="BG52" s="259">
        <f t="shared" si="23"/>
        <v>0</v>
      </c>
      <c r="BH52" s="259"/>
      <c r="BI52" s="259"/>
      <c r="BJ52" s="263"/>
      <c r="BK52" s="261">
        <f t="shared" si="25"/>
        <v>0</v>
      </c>
      <c r="BL52" s="261">
        <f t="shared" si="25"/>
        <v>0</v>
      </c>
      <c r="BM52" s="261">
        <f t="shared" si="26"/>
        <v>0</v>
      </c>
      <c r="BN52" s="264">
        <f>IFERROR(I52-BJ52,0)</f>
        <v>0</v>
      </c>
      <c r="BP52" s="259"/>
      <c r="BQ52" s="259"/>
      <c r="BR52" s="259"/>
      <c r="BS52" s="263"/>
      <c r="BT52" s="261"/>
      <c r="BU52" s="261"/>
      <c r="BV52" s="261"/>
      <c r="BW52" s="264"/>
      <c r="BY52" s="264">
        <f t="shared" si="31"/>
        <v>0</v>
      </c>
      <c r="CA52" s="263">
        <f>'[1]FC2+10'!AA51</f>
        <v>0</v>
      </c>
      <c r="CC52" s="264">
        <f t="shared" si="32"/>
        <v>0</v>
      </c>
      <c r="CE52" s="259"/>
      <c r="CF52" s="259"/>
      <c r="CG52" s="259"/>
      <c r="CH52" s="266"/>
      <c r="CI52" s="261"/>
      <c r="CJ52" s="261"/>
      <c r="CK52" s="261"/>
      <c r="CL52" s="266">
        <f>BZ52-CE52</f>
        <v>0</v>
      </c>
      <c r="CM52" s="47"/>
      <c r="CN52" s="47">
        <f t="shared" si="35"/>
        <v>0</v>
      </c>
    </row>
    <row r="53" spans="1:92" ht="18" customHeight="1" outlineLevel="1">
      <c r="B53" s="268" t="s">
        <v>107</v>
      </c>
      <c r="C53" s="269"/>
      <c r="D53" s="269"/>
      <c r="E53" s="269"/>
      <c r="F53" s="258">
        <f>SUM(F50:F52)</f>
        <v>0</v>
      </c>
      <c r="G53" s="258"/>
      <c r="H53" s="258"/>
      <c r="I53" s="213"/>
      <c r="K53" s="270"/>
      <c r="L53" s="270"/>
      <c r="M53" s="270"/>
      <c r="N53" s="271"/>
      <c r="O53" s="261"/>
      <c r="P53" s="261"/>
      <c r="Q53" s="261"/>
      <c r="R53" s="272">
        <f>F53-K53</f>
        <v>0</v>
      </c>
      <c r="S53" s="73"/>
      <c r="T53" s="270"/>
      <c r="U53" s="270"/>
      <c r="V53" s="270"/>
      <c r="W53" s="273"/>
      <c r="X53" s="261"/>
      <c r="Y53" s="261"/>
      <c r="Z53" s="261"/>
      <c r="AA53" s="216">
        <f>O53-T53</f>
        <v>0</v>
      </c>
      <c r="AB53" s="73"/>
      <c r="AC53" s="270"/>
      <c r="AD53" s="270"/>
      <c r="AE53" s="270">
        <v>0</v>
      </c>
      <c r="AF53" s="273"/>
      <c r="AG53" s="261"/>
      <c r="AH53" s="261"/>
      <c r="AI53" s="261"/>
      <c r="AJ53" s="216">
        <f>X53-AC53</f>
        <v>0</v>
      </c>
      <c r="AK53" s="73"/>
      <c r="AL53" s="270"/>
      <c r="AM53" s="270"/>
      <c r="AN53" s="270"/>
      <c r="AO53" s="273"/>
      <c r="AP53" s="261"/>
      <c r="AQ53" s="261"/>
      <c r="AR53" s="261"/>
      <c r="AS53" s="216">
        <f>AG53-AL53</f>
        <v>0</v>
      </c>
      <c r="AU53" s="270">
        <f>[1]Act!L52</f>
        <v>0</v>
      </c>
      <c r="AV53" s="265">
        <f t="shared" si="20"/>
        <v>0</v>
      </c>
      <c r="AW53" s="73"/>
      <c r="AX53" s="270"/>
      <c r="AY53" s="270"/>
      <c r="AZ53" s="270"/>
      <c r="BA53" s="273"/>
      <c r="BB53" s="261"/>
      <c r="BC53" s="261"/>
      <c r="BD53" s="261"/>
      <c r="BE53" s="216">
        <f>AS53-AX53</f>
        <v>0</v>
      </c>
      <c r="BG53" s="270">
        <f t="shared" si="23"/>
        <v>0</v>
      </c>
      <c r="BH53" s="270"/>
      <c r="BI53" s="270"/>
      <c r="BJ53" s="273"/>
      <c r="BK53" s="261">
        <f t="shared" si="25"/>
        <v>0</v>
      </c>
      <c r="BL53" s="261">
        <f t="shared" si="25"/>
        <v>0</v>
      </c>
      <c r="BM53" s="261">
        <f t="shared" si="26"/>
        <v>0</v>
      </c>
      <c r="BN53" s="216">
        <f>IFERROR(I53-BJ53,0)</f>
        <v>0</v>
      </c>
      <c r="BP53" s="270"/>
      <c r="BQ53" s="270"/>
      <c r="BR53" s="270"/>
      <c r="BS53" s="273"/>
      <c r="BT53" s="261"/>
      <c r="BU53" s="261"/>
      <c r="BV53" s="261"/>
      <c r="BW53" s="216"/>
      <c r="BY53" s="216">
        <f t="shared" si="31"/>
        <v>0</v>
      </c>
      <c r="CA53" s="273">
        <f>'[1]FC2+10'!AA52</f>
        <v>0</v>
      </c>
      <c r="CC53" s="216">
        <f t="shared" si="32"/>
        <v>0</v>
      </c>
      <c r="CE53" s="270"/>
      <c r="CF53" s="270"/>
      <c r="CG53" s="270"/>
      <c r="CH53" s="274"/>
      <c r="CI53" s="261"/>
      <c r="CJ53" s="261"/>
      <c r="CK53" s="261"/>
      <c r="CL53" s="274">
        <f>BZ53-CE53</f>
        <v>0</v>
      </c>
      <c r="CM53" s="47"/>
      <c r="CN53" s="47">
        <f t="shared" si="35"/>
        <v>0</v>
      </c>
    </row>
    <row r="54" spans="1:92" ht="8.25" customHeight="1" outlineLevel="1">
      <c r="F54" s="62"/>
      <c r="G54" s="62"/>
      <c r="H54" s="62"/>
      <c r="I54" s="252"/>
      <c r="K54" s="73"/>
      <c r="L54" s="73"/>
      <c r="M54" s="73"/>
      <c r="N54" s="73"/>
      <c r="R54" s="73"/>
      <c r="S54" s="73"/>
      <c r="T54" s="73"/>
      <c r="U54" s="73"/>
      <c r="V54" s="73"/>
      <c r="W54" s="73"/>
      <c r="AA54" s="73"/>
      <c r="AB54" s="73"/>
      <c r="AC54" s="73"/>
      <c r="AD54" s="73"/>
      <c r="AE54" s="73">
        <v>0</v>
      </c>
      <c r="AF54" s="73"/>
      <c r="AJ54" s="73"/>
      <c r="AK54" s="73"/>
      <c r="AL54" s="73"/>
      <c r="AM54" s="73"/>
      <c r="AN54" s="73"/>
      <c r="AO54" s="73"/>
      <c r="AS54" s="73"/>
      <c r="AU54" s="73"/>
      <c r="AV54" s="64"/>
      <c r="AW54" s="73"/>
      <c r="AX54" s="73"/>
      <c r="AY54" s="73"/>
      <c r="AZ54" s="73"/>
      <c r="BA54" s="73"/>
      <c r="BE54" s="73"/>
      <c r="BG54" s="73">
        <f t="shared" si="23"/>
        <v>0</v>
      </c>
      <c r="BH54" s="73"/>
      <c r="BI54" s="73"/>
      <c r="BJ54" s="73"/>
      <c r="BK54" s="1">
        <f t="shared" si="25"/>
        <v>0</v>
      </c>
      <c r="BL54" s="1">
        <f t="shared" si="25"/>
        <v>0</v>
      </c>
      <c r="BM54" s="1">
        <f t="shared" si="26"/>
        <v>0</v>
      </c>
      <c r="BN54" s="73"/>
      <c r="BP54" s="73"/>
      <c r="BQ54" s="73"/>
      <c r="BR54" s="73"/>
      <c r="BS54" s="73"/>
      <c r="BW54" s="73"/>
      <c r="BY54" s="73"/>
      <c r="CA54" s="73">
        <f>'[1]FC2+10'!AA53</f>
        <v>0</v>
      </c>
      <c r="CC54" s="73">
        <f t="shared" si="32"/>
        <v>0</v>
      </c>
      <c r="CE54" s="73"/>
      <c r="CF54" s="73"/>
      <c r="CG54" s="73"/>
      <c r="CH54" s="253"/>
      <c r="CL54" s="253"/>
      <c r="CM54" s="254"/>
      <c r="CN54" s="254"/>
    </row>
    <row r="55" spans="1:92" ht="18" customHeight="1" outlineLevel="1">
      <c r="B55" s="275" t="s">
        <v>108</v>
      </c>
      <c r="C55" s="276"/>
      <c r="D55" s="269"/>
      <c r="E55" s="269"/>
      <c r="F55" s="277">
        <f>IF([1]Act!S$3=1,[1]Act!S54,"")</f>
        <v>-14.941574100003102</v>
      </c>
      <c r="G55" s="277">
        <f>IF([1]Act!T$3=1,[1]Act!T54,"")</f>
        <v>4.5787192000028369</v>
      </c>
      <c r="H55" s="278" t="str">
        <f>IF([1]Act!U$3=1,[1]Act!U54,"")</f>
        <v/>
      </c>
      <c r="I55" s="279">
        <f>SUM(F55:H55)</f>
        <v>-10.362854900000265</v>
      </c>
      <c r="K55" s="270">
        <f>IF([1]BP!S$3=1,[1]BP!S54,"")</f>
        <v>-1.7825240696100764</v>
      </c>
      <c r="L55" s="270">
        <f>IF([1]BP!T$3=1,[1]BP!T54,"")</f>
        <v>6.4636244441059461</v>
      </c>
      <c r="M55" s="270" t="str">
        <f>IF([1]BP!U$3=1,[1]BP!U54,"")</f>
        <v/>
      </c>
      <c r="N55" s="271">
        <f>SUM(K55:M55)</f>
        <v>4.6811003744958697</v>
      </c>
      <c r="O55" s="280">
        <f>IFERROR(F55-K55,0)</f>
        <v>-13.159050030393026</v>
      </c>
      <c r="P55" s="281">
        <f>IFERROR(G55-L55,0)</f>
        <v>-1.8849052441031091</v>
      </c>
      <c r="Q55" s="280">
        <f>IFERROR(H55-M55,0)</f>
        <v>0</v>
      </c>
      <c r="R55" s="272">
        <f>I55-N55</f>
        <v>-15.043955274496135</v>
      </c>
      <c r="S55" s="73"/>
      <c r="T55" s="270">
        <f>IF('[1]FC2+10'!S$3=1,'[1]FC2+10'!S54,"")</f>
        <v>56.477944882371091</v>
      </c>
      <c r="U55" s="282">
        <f>IF('[1]FC2+10'!T$3=1,'[1]FC2+10'!T54,"")</f>
        <v>45.467958636068985</v>
      </c>
      <c r="V55" s="270" t="str">
        <f>IF('[1]FC2+10'!U$3=1,'[1]FC2+10'!U54,"")</f>
        <v/>
      </c>
      <c r="W55" s="273">
        <f>SUM(T55:V55)</f>
        <v>101.94590351844008</v>
      </c>
      <c r="X55" s="280">
        <f>IFERROR(F55-T55,0)</f>
        <v>-71.4195189823742</v>
      </c>
      <c r="Y55" s="280">
        <f>IFERROR(G55-U55,0)</f>
        <v>-40.889239436066148</v>
      </c>
      <c r="Z55" s="280">
        <f>IFERROR(H55-V55,0)</f>
        <v>0</v>
      </c>
      <c r="AA55" s="216">
        <f>I55-W55</f>
        <v>-112.30875841844033</v>
      </c>
      <c r="AB55" s="73"/>
      <c r="AC55" s="270">
        <f>IF([1]OL!S$3=1,[1]OL!S54,"")</f>
        <v>-14.941574100003159</v>
      </c>
      <c r="AD55" s="270">
        <f>IF([1]OL!T$3=1,[1]OL!T54,"")</f>
        <v>-36.937774523260757</v>
      </c>
      <c r="AE55" s="270" t="str">
        <f>IF([1]OL!U$3=1,[1]OL!U54,"")</f>
        <v/>
      </c>
      <c r="AF55" s="283">
        <f>SUM(AC55:AE55)</f>
        <v>-51.879348623263915</v>
      </c>
      <c r="AG55" s="280">
        <f>IFERROR(F55-AC55,0)</f>
        <v>5.6843418860808015E-14</v>
      </c>
      <c r="AH55" s="280">
        <f>IFERROR(G55-AD55,0)</f>
        <v>41.516493723263594</v>
      </c>
      <c r="AI55" s="280">
        <f>IFERROR(H55-AE55,0)</f>
        <v>0</v>
      </c>
      <c r="AJ55" s="284">
        <f>IFERROR(I55-AF55,0)</f>
        <v>41.51649372326365</v>
      </c>
      <c r="AK55" s="73"/>
      <c r="AL55" s="270">
        <f>IF([1]LY!S$3=1,[1]LY!S54,"")</f>
        <v>-48.705261599999638</v>
      </c>
      <c r="AM55" s="270">
        <f>IF([1]LY!T$3=1,[1]LY!T54,"")</f>
        <v>-27.698845799998935</v>
      </c>
      <c r="AN55" s="270" t="str">
        <f>IF([1]LY!U$3=1,[1]LY!U54,"")</f>
        <v/>
      </c>
      <c r="AO55" s="285">
        <f>SUM(AL55:AN55)</f>
        <v>-76.404107399998566</v>
      </c>
      <c r="AP55" s="280">
        <f>IFERROR(F55-AL55,0)</f>
        <v>33.763687499996536</v>
      </c>
      <c r="AQ55" s="280">
        <f>IFERROR(G55-AM55,0)</f>
        <v>32.277565000001772</v>
      </c>
      <c r="AR55" s="280">
        <f>IFERROR(H55-AN55,0)</f>
        <v>0</v>
      </c>
      <c r="AS55" s="286">
        <f t="shared" ref="AR55:AS74" si="58">IFERROR(I55-AO55,0)</f>
        <v>66.041252499998308</v>
      </c>
      <c r="AU55" s="270">
        <f>[1]Act!L54</f>
        <v>-27.709236999998488</v>
      </c>
      <c r="AV55" s="287" t="e">
        <f t="shared" si="20"/>
        <v>#VALUE!</v>
      </c>
      <c r="AW55" s="73"/>
      <c r="AX55" s="270">
        <f>IF('[1]FC5+7'!S$3=1,'[1]FC5+7'!S54,"")</f>
        <v>-2.9721803495988723</v>
      </c>
      <c r="AY55" s="282">
        <f>IF('[1]FC5+7'!T$3=1,'[1]FC5+7'!T54,"")</f>
        <v>-6.3684385534043528</v>
      </c>
      <c r="AZ55" s="270" t="str">
        <f>IF('[1]FC5+7'!U$3=1,'[1]FC5+7'!U54,"")</f>
        <v/>
      </c>
      <c r="BA55" s="273">
        <f>SUM(AX55:AZ55)</f>
        <v>-9.3406189030032252</v>
      </c>
      <c r="BB55" s="288">
        <f>IFERROR(F55-AX55,0)</f>
        <v>-11.96939375040423</v>
      </c>
      <c r="BC55" s="280">
        <f>IFERROR(G55-AY55,0)</f>
        <v>10.94715775340719</v>
      </c>
      <c r="BD55" s="280">
        <f>IFERROR(H55-AZ55,0)</f>
        <v>0</v>
      </c>
      <c r="BE55" s="216">
        <f>IFERROR(I55-BA55,0)</f>
        <v>-1.0222359969970398</v>
      </c>
      <c r="BG55" s="270">
        <f t="shared" si="23"/>
        <v>-14.941574100003102</v>
      </c>
      <c r="BH55" s="270">
        <v>-1.5891260088933663</v>
      </c>
      <c r="BI55" s="270">
        <v>-84.885629536674571</v>
      </c>
      <c r="BJ55" s="283">
        <f>SUM(BG55:BI55)</f>
        <v>-101.41632964557104</v>
      </c>
      <c r="BK55" s="280">
        <f t="shared" si="25"/>
        <v>5.6843418860808015E-14</v>
      </c>
      <c r="BL55" s="280">
        <f t="shared" si="25"/>
        <v>41.516493723263594</v>
      </c>
      <c r="BM55" s="280">
        <f t="shared" si="26"/>
        <v>0</v>
      </c>
      <c r="BN55" s="284">
        <f t="shared" ref="BN55:BN75" si="59">IFERROR(I55-BJ55,0)</f>
        <v>91.053474745570782</v>
      </c>
      <c r="BP55" s="270">
        <v>-89.070287299999734</v>
      </c>
      <c r="BQ55" s="270">
        <v>-33.835182200000673</v>
      </c>
      <c r="BR55" s="270">
        <v>-69.825243156095723</v>
      </c>
      <c r="BS55" s="283">
        <f>SUM(BP55:BR55)</f>
        <v>-192.73071265609613</v>
      </c>
      <c r="BT55" s="280">
        <f t="shared" si="30"/>
        <v>-74.128713199996582</v>
      </c>
      <c r="BU55" s="280">
        <f t="shared" si="30"/>
        <v>3.1025923232600832</v>
      </c>
      <c r="BV55" s="280" t="e">
        <f t="shared" si="30"/>
        <v>#VALUE!</v>
      </c>
      <c r="BW55" s="284">
        <f t="shared" si="30"/>
        <v>-140.85136403283221</v>
      </c>
      <c r="BY55" s="284" t="e">
        <f t="shared" si="31"/>
        <v>#VALUE!</v>
      </c>
      <c r="CA55" s="273">
        <f>'[1]FC2+10'!AA54</f>
        <v>-35.984671931108444</v>
      </c>
      <c r="CC55" s="284">
        <f t="shared" si="32"/>
        <v>-25.621817031108179</v>
      </c>
      <c r="CE55" s="270">
        <f>IF('[1]FC7+5'!S$3=1,'[1]FC7+5'!S54,"")</f>
        <v>12.437199408994829</v>
      </c>
      <c r="CF55" s="270">
        <f>IF('[1]FC7+5'!T$3=1,'[1]FC7+5'!T54,"")</f>
        <v>20.710169842295755</v>
      </c>
      <c r="CG55" s="270" t="str">
        <f>IF('[1]FC7+5'!U$3=1,'[1]FC7+5'!U54,"")</f>
        <v/>
      </c>
      <c r="CH55" s="274">
        <f>SUM(CE55:CG55)</f>
        <v>33.147369251290584</v>
      </c>
      <c r="CI55" s="288">
        <f t="shared" ref="CI55:CL55" si="60">IFERROR(F55-CE55,0)</f>
        <v>-27.378773508997931</v>
      </c>
      <c r="CJ55" s="280">
        <f t="shared" si="60"/>
        <v>-16.131450642292918</v>
      </c>
      <c r="CK55" s="280">
        <f t="shared" si="60"/>
        <v>0</v>
      </c>
      <c r="CL55" s="274">
        <f t="shared" si="60"/>
        <v>-43.510224151290849</v>
      </c>
      <c r="CM55" s="47">
        <f>IF('[1]FC7+5'!AC$3=1,'[1]FC7+5'!AC54,"")</f>
        <v>101.13467465698902</v>
      </c>
      <c r="CN55" s="47">
        <f t="shared" si="35"/>
        <v>-111.49752955698929</v>
      </c>
    </row>
    <row r="56" spans="1:92" ht="7.5" customHeight="1" outlineLevel="1">
      <c r="F56" s="62"/>
      <c r="G56" s="62"/>
      <c r="H56" s="62"/>
      <c r="I56" s="252"/>
      <c r="K56" s="73"/>
      <c r="L56" s="73"/>
      <c r="M56" s="73"/>
      <c r="N56" s="73"/>
      <c r="O56" s="289"/>
      <c r="P56" s="289"/>
      <c r="Q56" s="289"/>
      <c r="R56" s="73"/>
      <c r="S56" s="73"/>
      <c r="T56" s="73"/>
      <c r="U56" s="73"/>
      <c r="V56" s="73"/>
      <c r="W56" s="73"/>
      <c r="X56" s="289"/>
      <c r="Y56" s="289"/>
      <c r="Z56" s="289"/>
      <c r="AA56" s="73"/>
      <c r="AB56" s="73"/>
      <c r="AC56" s="73"/>
      <c r="AD56" s="73"/>
      <c r="AE56" s="73" t="str">
        <f>IF([1]OL!U$3=1,[1]OL!U55,"")</f>
        <v/>
      </c>
      <c r="AF56" s="73"/>
      <c r="AG56" s="289"/>
      <c r="AH56" s="289"/>
      <c r="AI56" s="289"/>
      <c r="AJ56" s="73"/>
      <c r="AK56" s="73"/>
      <c r="AL56" s="73"/>
      <c r="AM56" s="73"/>
      <c r="AN56" s="73"/>
      <c r="AO56" s="73"/>
      <c r="AP56" s="289"/>
      <c r="AQ56" s="289"/>
      <c r="AR56" s="289"/>
      <c r="AS56" s="73"/>
      <c r="AU56" s="73"/>
      <c r="AV56" s="290"/>
      <c r="AW56" s="73"/>
      <c r="AX56" s="73"/>
      <c r="AY56" s="73"/>
      <c r="AZ56" s="73"/>
      <c r="BA56" s="73"/>
      <c r="BB56" s="289"/>
      <c r="BC56" s="289"/>
      <c r="BD56" s="289"/>
      <c r="BE56" s="73"/>
      <c r="BG56" s="73">
        <f t="shared" si="23"/>
        <v>0</v>
      </c>
      <c r="BH56" s="73"/>
      <c r="BI56" s="73"/>
      <c r="BJ56" s="73"/>
      <c r="BK56" s="289">
        <f t="shared" si="25"/>
        <v>0</v>
      </c>
      <c r="BL56" s="289">
        <f t="shared" si="25"/>
        <v>0</v>
      </c>
      <c r="BM56" s="289">
        <f t="shared" si="26"/>
        <v>0</v>
      </c>
      <c r="BN56" s="73"/>
      <c r="BP56" s="73"/>
      <c r="BQ56" s="73"/>
      <c r="BR56" s="73"/>
      <c r="BS56" s="73"/>
      <c r="BT56" s="289"/>
      <c r="BU56" s="289"/>
      <c r="BV56" s="289"/>
      <c r="BW56" s="73"/>
      <c r="BY56" s="73"/>
      <c r="CA56" s="73">
        <f>'[1]FC2+10'!AA55</f>
        <v>0</v>
      </c>
      <c r="CC56" s="73">
        <f t="shared" si="32"/>
        <v>0</v>
      </c>
      <c r="CE56" s="73"/>
      <c r="CF56" s="73"/>
      <c r="CG56" s="73"/>
      <c r="CH56" s="253"/>
      <c r="CI56" s="289"/>
      <c r="CJ56" s="289"/>
      <c r="CK56" s="289"/>
      <c r="CL56" s="253"/>
      <c r="CM56" s="254"/>
      <c r="CN56" s="254">
        <f t="shared" si="35"/>
        <v>0</v>
      </c>
    </row>
    <row r="57" spans="1:92" ht="18" customHeight="1" outlineLevel="1" thickBot="1">
      <c r="B57" s="256" t="s">
        <v>109</v>
      </c>
      <c r="C57" s="291"/>
      <c r="D57" s="257"/>
      <c r="E57" s="291"/>
      <c r="F57" s="292">
        <f>IF([1]Act!S$3=1,[1]Act!S56,"")</f>
        <v>-3.5024863000000003E-2</v>
      </c>
      <c r="G57" s="292">
        <f>IF([1]Act!T$3=1,[1]Act!T56,"")</f>
        <v>-5.9481298000000009E-2</v>
      </c>
      <c r="H57" s="292" t="str">
        <f>IF([1]Act!U$3=1,[1]Act!U56,"")</f>
        <v/>
      </c>
      <c r="I57" s="293">
        <f>SUM(F57:H57)</f>
        <v>-9.4506161000000005E-2</v>
      </c>
      <c r="K57" s="294">
        <f>IF([1]BP!S$3=1,[1]BP!S56,"")</f>
        <v>0</v>
      </c>
      <c r="L57" s="294">
        <f>IF([1]BP!T$3=1,[1]BP!T56,"")</f>
        <v>0</v>
      </c>
      <c r="M57" s="294" t="str">
        <f>IF([1]BP!U$3=1,[1]BP!U56,"")</f>
        <v/>
      </c>
      <c r="N57" s="295">
        <f>SUM(K57:M57)</f>
        <v>0</v>
      </c>
      <c r="O57" s="280">
        <f>IFERROR(F57-K57,0)</f>
        <v>-3.5024863000000003E-2</v>
      </c>
      <c r="P57" s="280">
        <f>IFERROR(G57-L57,0)</f>
        <v>-5.9481298000000009E-2</v>
      </c>
      <c r="Q57" s="280">
        <f>IFERROR(H57-M57,0)</f>
        <v>0</v>
      </c>
      <c r="R57" s="272">
        <f>I57-N57</f>
        <v>-9.4506161000000005E-2</v>
      </c>
      <c r="S57" s="73"/>
      <c r="T57" s="296">
        <f>IF('[1]FC2+10'!S$3=1,'[1]FC2+10'!S56,"")</f>
        <v>0</v>
      </c>
      <c r="U57" s="294">
        <f>IF('[1]FC2+10'!T$3=1,'[1]FC2+10'!T56,"")</f>
        <v>0</v>
      </c>
      <c r="V57" s="294" t="str">
        <f>IF('[1]FC2+10'!U$3=1,'[1]FC2+10'!U56,"")</f>
        <v/>
      </c>
      <c r="W57" s="297">
        <f>SUM(T57:V57)</f>
        <v>0</v>
      </c>
      <c r="X57" s="280">
        <f>IFERROR(F57-T57,0)</f>
        <v>-3.5024863000000003E-2</v>
      </c>
      <c r="Y57" s="280">
        <f>IFERROR(G57-U57,0)</f>
        <v>-5.9481298000000009E-2</v>
      </c>
      <c r="Z57" s="280">
        <f>IFERROR(H57-V57,0)</f>
        <v>0</v>
      </c>
      <c r="AA57" s="298">
        <f>I57-W57</f>
        <v>-9.4506161000000005E-2</v>
      </c>
      <c r="AB57" s="73"/>
      <c r="AC57" s="296">
        <f>IF([1]OL!S$3=1,[1]OL!S56,"")</f>
        <v>0</v>
      </c>
      <c r="AD57" s="296">
        <f>IF([1]OL!T$3=1,[1]OL!T56,"")</f>
        <v>0</v>
      </c>
      <c r="AE57" s="296" t="str">
        <f>IF([1]OL!U$3=1,[1]OL!U56,"")</f>
        <v/>
      </c>
      <c r="AF57" s="299">
        <f>SUM(AC57:AE57)</f>
        <v>0</v>
      </c>
      <c r="AG57" s="280">
        <f>IFERROR(F57-AC57,0)</f>
        <v>-3.5024863000000003E-2</v>
      </c>
      <c r="AH57" s="280">
        <f>IFERROR(G57-AD57,0)</f>
        <v>-5.9481298000000009E-2</v>
      </c>
      <c r="AI57" s="280">
        <f>IFERROR(H57-AE57,0)</f>
        <v>0</v>
      </c>
      <c r="AJ57" s="300">
        <f>IFERROR(I57-AF57,0)</f>
        <v>-9.4506161000000005E-2</v>
      </c>
      <c r="AK57" s="73"/>
      <c r="AL57" s="296">
        <f>IF([1]LY!S$3=1,[1]LY!S56,"")</f>
        <v>-5.8807732999999959E-2</v>
      </c>
      <c r="AM57" s="296">
        <f>IF([1]LY!T$3=1,[1]LY!T56,"")</f>
        <v>-6.4752796999999959E-2</v>
      </c>
      <c r="AN57" s="296" t="str">
        <f>IF([1]LY!U$3=1,[1]LY!U56,"")</f>
        <v/>
      </c>
      <c r="AO57" s="301">
        <f>SUM(AL57:AN57)</f>
        <v>-0.12356052999999992</v>
      </c>
      <c r="AP57" s="280">
        <f>IFERROR(F57-AL57,0)</f>
        <v>2.3782869999999956E-2</v>
      </c>
      <c r="AQ57" s="280">
        <f>IFERROR(G57-AM57,0)</f>
        <v>5.2714989999999504E-3</v>
      </c>
      <c r="AR57" s="280">
        <f>IFERROR(H57-AN57,0)</f>
        <v>0</v>
      </c>
      <c r="AS57" s="302">
        <f t="shared" si="58"/>
        <v>2.9054368999999913E-2</v>
      </c>
      <c r="AU57" s="296">
        <f>[1]Act!L56</f>
        <v>-7.4329570000000005E-3</v>
      </c>
      <c r="AV57" s="287" t="e">
        <f t="shared" si="20"/>
        <v>#VALUE!</v>
      </c>
      <c r="AW57" s="73"/>
      <c r="AX57" s="296">
        <f>IF('[1]FC5+7'!S$3=1,'[1]FC5+7'!S56,"")</f>
        <v>-2.1830320000000007E-2</v>
      </c>
      <c r="AY57" s="294">
        <f>IF('[1]FC5+7'!T$3=1,'[1]FC5+7'!T56,"")</f>
        <v>-3.0350284000000012E-2</v>
      </c>
      <c r="AZ57" s="294" t="str">
        <f>IF('[1]FC5+7'!U$3=1,'[1]FC5+7'!U56,"")</f>
        <v/>
      </c>
      <c r="BA57" s="297">
        <f>SUM(AX57:AZ57)</f>
        <v>-5.2180604000000019E-2</v>
      </c>
      <c r="BB57" s="280">
        <f>IFERROR(F57-AX57,0)</f>
        <v>-1.3194542999999996E-2</v>
      </c>
      <c r="BC57" s="280">
        <f>IFERROR(G57-AY57,0)</f>
        <v>-2.9131013999999997E-2</v>
      </c>
      <c r="BD57" s="280">
        <f>IFERROR(H57-AZ57,0)</f>
        <v>0</v>
      </c>
      <c r="BE57" s="298">
        <f>IFERROR(I57-BA57,0)</f>
        <v>-4.2325556999999986E-2</v>
      </c>
      <c r="BG57" s="296">
        <f t="shared" si="23"/>
        <v>-3.5024863000000003E-2</v>
      </c>
      <c r="BH57" s="296">
        <v>0</v>
      </c>
      <c r="BI57" s="296">
        <v>0</v>
      </c>
      <c r="BJ57" s="299">
        <f>SUM(BG57:BI57)</f>
        <v>-3.5024863000000003E-2</v>
      </c>
      <c r="BK57" s="280">
        <f t="shared" si="25"/>
        <v>-3.5024863000000003E-2</v>
      </c>
      <c r="BL57" s="280">
        <f t="shared" si="25"/>
        <v>-5.9481298000000009E-2</v>
      </c>
      <c r="BM57" s="280">
        <f t="shared" si="26"/>
        <v>0</v>
      </c>
      <c r="BN57" s="300">
        <f t="shared" si="59"/>
        <v>-5.9481298000000002E-2</v>
      </c>
      <c r="BP57" s="296">
        <f t="shared" si="28"/>
        <v>-3.5024863000000003E-2</v>
      </c>
      <c r="BQ57" s="296">
        <f t="shared" si="28"/>
        <v>-5.9481298000000009E-2</v>
      </c>
      <c r="BR57" s="296" t="e">
        <f>#REF!</f>
        <v>#REF!</v>
      </c>
      <c r="BS57" s="299" t="e">
        <f>SUM(BP57:BR57)</f>
        <v>#REF!</v>
      </c>
      <c r="BT57" s="280">
        <f t="shared" si="30"/>
        <v>-3.5024863000000003E-2</v>
      </c>
      <c r="BU57" s="280">
        <f t="shared" si="30"/>
        <v>-5.9481298000000009E-2</v>
      </c>
      <c r="BV57" s="280" t="e">
        <f t="shared" si="30"/>
        <v>#REF!</v>
      </c>
      <c r="BW57" s="300" t="e">
        <f t="shared" si="30"/>
        <v>#REF!</v>
      </c>
      <c r="BY57" s="300" t="e">
        <f t="shared" si="31"/>
        <v>#VALUE!</v>
      </c>
      <c r="CA57" s="297">
        <f>'[1]FC2+10'!AA56</f>
        <v>-0.21429378500000004</v>
      </c>
      <c r="CC57" s="300">
        <f t="shared" si="32"/>
        <v>-0.11978762400000004</v>
      </c>
      <c r="CE57" s="296">
        <f>IF('[1]FC7+5'!S$3=1,'[1]FC7+5'!S56,"")</f>
        <v>-0.17499667600000002</v>
      </c>
      <c r="CF57" s="296">
        <f>IF('[1]FC7+5'!T$3=1,'[1]FC7+5'!T56,"")</f>
        <v>-0.23693095199999997</v>
      </c>
      <c r="CG57" s="296" t="str">
        <f>IF('[1]FC7+5'!U$3=1,'[1]FC7+5'!U56,"")</f>
        <v/>
      </c>
      <c r="CH57" s="303">
        <f>SUM(CE57:CG57)</f>
        <v>-0.41192762799999999</v>
      </c>
      <c r="CI57" s="280">
        <f t="shared" ref="CI57:CL57" si="61">IFERROR(F57-CE57,0)</f>
        <v>0.139971813</v>
      </c>
      <c r="CJ57" s="280">
        <f t="shared" si="61"/>
        <v>0.17744965399999996</v>
      </c>
      <c r="CK57" s="280">
        <f t="shared" si="61"/>
        <v>0</v>
      </c>
      <c r="CL57" s="303">
        <f t="shared" si="61"/>
        <v>0.31742146699999996</v>
      </c>
      <c r="CM57" s="47">
        <f>IF('[1]FC7+5'!AC$3=1,'[1]FC7+5'!AC56,"")</f>
        <v>-0.75970874099999985</v>
      </c>
      <c r="CN57" s="47">
        <f t="shared" si="35"/>
        <v>0.66520257999999988</v>
      </c>
    </row>
    <row r="58" spans="1:92" ht="6" customHeight="1" outlineLevel="1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>
        <v>0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304"/>
      <c r="AW58" s="12"/>
      <c r="AX58" s="12"/>
      <c r="AY58" s="12"/>
      <c r="AZ58" s="12"/>
      <c r="BA58" s="12"/>
      <c r="BB58" s="12"/>
      <c r="BC58" s="12"/>
      <c r="BD58" s="12"/>
      <c r="BE58" s="12"/>
      <c r="BG58" s="12">
        <f t="shared" si="23"/>
        <v>0</v>
      </c>
      <c r="BH58" s="12"/>
      <c r="BI58" s="12"/>
      <c r="BJ58" s="12"/>
      <c r="BK58" s="12">
        <f t="shared" si="25"/>
        <v>0</v>
      </c>
      <c r="BL58" s="12">
        <f t="shared" si="25"/>
        <v>0</v>
      </c>
      <c r="BM58" s="12">
        <f t="shared" si="26"/>
        <v>0</v>
      </c>
      <c r="BN58" s="12"/>
      <c r="BP58" s="12"/>
      <c r="BQ58" s="12"/>
      <c r="BR58" s="12"/>
      <c r="BS58" s="12"/>
      <c r="BT58" s="12"/>
      <c r="BU58" s="12"/>
      <c r="BV58" s="12"/>
      <c r="BW58" s="12"/>
      <c r="BY58" s="12"/>
      <c r="CA58" s="12">
        <f>'[1]FC2+10'!AA57</f>
        <v>0</v>
      </c>
      <c r="CC58" s="12">
        <f t="shared" si="32"/>
        <v>0</v>
      </c>
      <c r="CE58" s="12"/>
      <c r="CF58" s="12"/>
      <c r="CG58" s="12"/>
      <c r="CH58" s="305"/>
      <c r="CI58" s="12"/>
      <c r="CJ58" s="12"/>
      <c r="CK58" s="12"/>
      <c r="CL58" s="305"/>
      <c r="CM58" s="306"/>
      <c r="CN58" s="306"/>
    </row>
    <row r="59" spans="1:92" ht="14.45" customHeight="1" outlineLevel="1">
      <c r="B59" s="307"/>
      <c r="C59" s="308"/>
      <c r="D59" s="309" t="s">
        <v>110</v>
      </c>
      <c r="E59" s="310"/>
      <c r="F59" s="67">
        <f>IF([1]Act!S$3=1,[1]Act!S58,"")</f>
        <v>-0.86099999999999999</v>
      </c>
      <c r="G59" s="67">
        <f>IF([1]Act!T$3=1,[1]Act!T58,"")</f>
        <v>-0.78899999999999992</v>
      </c>
      <c r="H59" s="67" t="str">
        <f>IF([1]Act!U$3=1,[1]Act!U58,"")</f>
        <v/>
      </c>
      <c r="I59" s="311">
        <f>SUM(F59:H59)</f>
        <v>-1.65</v>
      </c>
      <c r="K59" s="68">
        <f>IF([1]BP!S$3=1,[1]BP!S58,"")</f>
        <v>-1.2878602354265518</v>
      </c>
      <c r="L59" s="68">
        <f>IF([1]BP!T$3=1,[1]BP!T58,"")</f>
        <v>-1.2011321528893206</v>
      </c>
      <c r="M59" s="68" t="str">
        <f>IF([1]BP!U$3=1,[1]BP!U58,"")</f>
        <v/>
      </c>
      <c r="N59" s="116">
        <f>SUM(K59:M59)</f>
        <v>-2.4889923883158724</v>
      </c>
      <c r="O59" s="71">
        <f t="shared" ref="O59:Q60" si="62">IFERROR(F59-K59,0)</f>
        <v>0.42686023542655183</v>
      </c>
      <c r="P59" s="71">
        <f t="shared" si="62"/>
        <v>0.4121321528893207</v>
      </c>
      <c r="Q59" s="71">
        <f t="shared" si="62"/>
        <v>0</v>
      </c>
      <c r="R59" s="117">
        <f>SUM(O59:Q59)</f>
        <v>0.83899238831587253</v>
      </c>
      <c r="S59" s="73"/>
      <c r="T59" s="312">
        <f>IF('[1]FC2+10'!S$3=1,'[1]FC2+10'!S58,"")</f>
        <v>-0.91272317506350342</v>
      </c>
      <c r="U59" s="313">
        <f>IF('[1]FC2+10'!T$3=1,'[1]FC2+10'!T58,"")</f>
        <v>-0.97785548773626207</v>
      </c>
      <c r="V59" s="313" t="str">
        <f>IF('[1]FC2+10'!U$3=1,'[1]FC2+10'!U58,"")</f>
        <v/>
      </c>
      <c r="W59" s="118">
        <f>SUM(T59:V59)</f>
        <v>-1.8905786627997654</v>
      </c>
      <c r="X59" s="71">
        <f t="shared" ref="X59:Z60" si="63">IFERROR(F59-T59,0)</f>
        <v>5.1723175063503435E-2</v>
      </c>
      <c r="Y59" s="71">
        <f t="shared" si="63"/>
        <v>0.18885548773626215</v>
      </c>
      <c r="Z59" s="71">
        <f t="shared" si="63"/>
        <v>0</v>
      </c>
      <c r="AA59" s="119">
        <f>SUM(X59:Z59)</f>
        <v>0.24057866279976559</v>
      </c>
      <c r="AB59" s="73"/>
      <c r="AC59" s="312">
        <f>IF([1]OL!S$3=1,[1]OL!S58,"")</f>
        <v>-0.86099999999999999</v>
      </c>
      <c r="AD59" s="313">
        <f>IF([1]OL!T$3=1,[1]OL!T58,"")</f>
        <v>-1.0695394895257728</v>
      </c>
      <c r="AE59" s="313" t="str">
        <f>IF([1]OL!U$3=1,[1]OL!U58,"")</f>
        <v/>
      </c>
      <c r="AF59" s="314">
        <f>SUM(AC59:AE59)</f>
        <v>-1.9305394895257728</v>
      </c>
      <c r="AG59" s="71">
        <f t="shared" ref="AG59:AI61" si="64">IFERROR(F59-AC59,0)</f>
        <v>0</v>
      </c>
      <c r="AH59" s="71">
        <f t="shared" si="64"/>
        <v>0.2805394895257729</v>
      </c>
      <c r="AI59" s="71">
        <f t="shared" si="64"/>
        <v>0</v>
      </c>
      <c r="AJ59" s="121">
        <f>SUM(AG59:AI59)</f>
        <v>0.2805394895257729</v>
      </c>
      <c r="AK59" s="73"/>
      <c r="AL59" s="312">
        <f>IF([1]LY!S$3=1,[1]LY!S58,"")</f>
        <v>-1.605626</v>
      </c>
      <c r="AM59" s="313">
        <f>IF([1]LY!T$3=1,[1]LY!T58,"")</f>
        <v>-1.344217</v>
      </c>
      <c r="AN59" s="313" t="str">
        <f>IF([1]LY!U$3=1,[1]LY!U58,"")</f>
        <v/>
      </c>
      <c r="AO59" s="122">
        <f>SUM(AL59:AN59)</f>
        <v>-2.949843</v>
      </c>
      <c r="AP59" s="71">
        <f t="shared" ref="AP59:AR60" si="65">IFERROR(F59-AL59,0)</f>
        <v>0.74462600000000001</v>
      </c>
      <c r="AQ59" s="71">
        <f t="shared" si="65"/>
        <v>0.55521700000000007</v>
      </c>
      <c r="AR59" s="71">
        <f t="shared" si="65"/>
        <v>0</v>
      </c>
      <c r="AS59" s="123">
        <f>SUM(AP59:AR59)</f>
        <v>1.2998430000000001</v>
      </c>
      <c r="AU59" s="312">
        <f>[1]Act!L58</f>
        <v>-0.80425389000000003</v>
      </c>
      <c r="AV59" s="75" t="e">
        <f t="shared" si="20"/>
        <v>#VALUE!</v>
      </c>
      <c r="AW59" s="73"/>
      <c r="AX59" s="312">
        <f>IF('[1]FC5+7'!S$3=1,'[1]FC5+7'!S58,"")</f>
        <v>-0.96017799999999998</v>
      </c>
      <c r="AY59" s="313">
        <f>IF('[1]FC5+7'!T$3=1,'[1]FC5+7'!T58,"")</f>
        <v>-0.77694099999999999</v>
      </c>
      <c r="AZ59" s="313" t="str">
        <f>IF('[1]FC5+7'!U$3=1,'[1]FC5+7'!U58,"")</f>
        <v/>
      </c>
      <c r="BA59" s="118">
        <f>SUM(AX59:AZ59)</f>
        <v>-1.7371189999999999</v>
      </c>
      <c r="BB59" s="71">
        <f t="shared" ref="BB59:BE61" si="66">IFERROR(F59-AX59,0)</f>
        <v>9.9177999999999988E-2</v>
      </c>
      <c r="BC59" s="315">
        <f t="shared" si="66"/>
        <v>-1.2058999999999931E-2</v>
      </c>
      <c r="BD59" s="71">
        <f t="shared" si="66"/>
        <v>0</v>
      </c>
      <c r="BE59" s="119">
        <f t="shared" si="66"/>
        <v>8.7118999999999946E-2</v>
      </c>
      <c r="BG59" s="312">
        <f t="shared" si="23"/>
        <v>-0.86099999999999999</v>
      </c>
      <c r="BH59" s="313">
        <v>-0.93709822478656601</v>
      </c>
      <c r="BI59" s="313">
        <v>-3.3629486279224547</v>
      </c>
      <c r="BJ59" s="314">
        <f>SUM(BG59:BI59)</f>
        <v>-5.1610468527090205</v>
      </c>
      <c r="BK59" s="71">
        <f t="shared" si="25"/>
        <v>0</v>
      </c>
      <c r="BL59" s="71">
        <f t="shared" si="25"/>
        <v>0.2805394895257729</v>
      </c>
      <c r="BM59" s="71">
        <f t="shared" si="26"/>
        <v>0</v>
      </c>
      <c r="BN59" s="121">
        <f t="shared" si="59"/>
        <v>3.5110468527090206</v>
      </c>
      <c r="BP59" s="312">
        <f t="shared" si="28"/>
        <v>-0.86099999999999999</v>
      </c>
      <c r="BQ59" s="313">
        <f t="shared" si="28"/>
        <v>-0.78899999999999992</v>
      </c>
      <c r="BR59" s="313" t="e">
        <f>#REF!</f>
        <v>#REF!</v>
      </c>
      <c r="BS59" s="314" t="e">
        <f>SUM(BP59:BR59)</f>
        <v>#REF!</v>
      </c>
      <c r="BT59" s="71">
        <f t="shared" si="30"/>
        <v>0</v>
      </c>
      <c r="BU59" s="71">
        <f t="shared" si="30"/>
        <v>0.2805394895257729</v>
      </c>
      <c r="BV59" s="71" t="e">
        <f t="shared" si="30"/>
        <v>#REF!</v>
      </c>
      <c r="BW59" s="121" t="e">
        <f t="shared" si="30"/>
        <v>#REF!</v>
      </c>
      <c r="BY59" s="121" t="e">
        <f t="shared" si="31"/>
        <v>#VALUE!</v>
      </c>
      <c r="CA59" s="118">
        <f>'[1]FC2+10'!AA58</f>
        <v>-4.4879116145971105</v>
      </c>
      <c r="CC59" s="121">
        <f t="shared" si="32"/>
        <v>-2.8379116145971106</v>
      </c>
      <c r="CE59" s="312">
        <f>IF('[1]FC7+5'!S$3=1,'[1]FC7+5'!S58,"")</f>
        <v>-1.2003731405630853</v>
      </c>
      <c r="CF59" s="312">
        <f>IF('[1]FC7+5'!T$3=1,'[1]FC7+5'!T58,"")</f>
        <v>-1.0695394895257728</v>
      </c>
      <c r="CG59" s="312" t="str">
        <f>IF('[1]FC7+5'!U$3=1,'[1]FC7+5'!U58,"")</f>
        <v/>
      </c>
      <c r="CH59" s="124">
        <f>SUM(CE59:CG59)</f>
        <v>-2.2699126300888581</v>
      </c>
      <c r="CI59" s="71">
        <f t="shared" ref="CI59:CL61" si="67">IFERROR(F59-CE59,0)</f>
        <v>0.33937314056308532</v>
      </c>
      <c r="CJ59" s="315">
        <f t="shared" si="67"/>
        <v>0.2805394895257729</v>
      </c>
      <c r="CK59" s="71">
        <f t="shared" si="67"/>
        <v>0</v>
      </c>
      <c r="CL59" s="124">
        <f t="shared" si="67"/>
        <v>0.61991263008885822</v>
      </c>
      <c r="CM59" s="124">
        <f>IF('[1]FC7+5'!AC$3=1,'[1]FC7+5'!AC58,"")</f>
        <v>-6.0421470930234467</v>
      </c>
      <c r="CN59" s="124">
        <f t="shared" si="35"/>
        <v>4.3921470930234463</v>
      </c>
    </row>
    <row r="60" spans="1:92" ht="11.45" customHeight="1" outlineLevel="1">
      <c r="B60" s="316"/>
      <c r="C60" s="317"/>
      <c r="D60" s="318" t="s">
        <v>47</v>
      </c>
      <c r="E60" s="319"/>
      <c r="F60" s="129">
        <f>IF([1]Act!S$3=1,[1]Act!S59,"")</f>
        <v>-4.8946091849999975</v>
      </c>
      <c r="G60" s="129">
        <f>IF([1]Act!T$3=1,[1]Act!T59,"")</f>
        <v>-5.5113960401379334</v>
      </c>
      <c r="H60" s="129" t="str">
        <f>IF([1]Act!U$3=1,[1]Act!U59,"")</f>
        <v/>
      </c>
      <c r="I60" s="320">
        <f>SUM(F60:H60)</f>
        <v>-10.406005225137932</v>
      </c>
      <c r="K60" s="131">
        <f>IF([1]BP!S$3=1,[1]BP!S59,"")</f>
        <v>-4.0530057958180894</v>
      </c>
      <c r="L60" s="131">
        <f>IF([1]BP!T$3=1,[1]BP!T59,"")</f>
        <v>-3.6477028028180434</v>
      </c>
      <c r="M60" s="131" t="str">
        <f>IF([1]BP!U$3=1,[1]BP!U59,"")</f>
        <v/>
      </c>
      <c r="N60" s="321">
        <f>SUM(K60:M60)</f>
        <v>-7.7007085986361332</v>
      </c>
      <c r="O60" s="133">
        <f t="shared" si="62"/>
        <v>-0.84160338918190813</v>
      </c>
      <c r="P60" s="133">
        <f t="shared" si="62"/>
        <v>-1.86369323731989</v>
      </c>
      <c r="Q60" s="133">
        <f t="shared" si="62"/>
        <v>0</v>
      </c>
      <c r="R60" s="322">
        <f>SUM(O60:Q60)</f>
        <v>-2.7052966265017981</v>
      </c>
      <c r="S60" s="73"/>
      <c r="T60" s="323">
        <f>IF('[1]FC2+10'!S$3=1,'[1]FC2+10'!S59,"")</f>
        <v>-6.1666228399502447</v>
      </c>
      <c r="U60" s="324">
        <f>IF('[1]FC2+10'!T$3=1,'[1]FC2+10'!T59,"")</f>
        <v>-5.7965034907412711</v>
      </c>
      <c r="V60" s="324" t="str">
        <f>IF('[1]FC2+10'!U$3=1,'[1]FC2+10'!U59,"")</f>
        <v/>
      </c>
      <c r="W60" s="325">
        <f>SUM(T60:V60)</f>
        <v>-11.963126330691516</v>
      </c>
      <c r="X60" s="133">
        <f t="shared" si="63"/>
        <v>1.2720136549502472</v>
      </c>
      <c r="Y60" s="133">
        <f t="shared" si="63"/>
        <v>0.28510745060333775</v>
      </c>
      <c r="Z60" s="133">
        <f t="shared" si="63"/>
        <v>0</v>
      </c>
      <c r="AA60" s="326">
        <f>SUM(X60:Z60)</f>
        <v>1.557121105553585</v>
      </c>
      <c r="AB60" s="73"/>
      <c r="AC60" s="323">
        <f>IF([1]OL!S$3=1,[1]OL!S59,"")</f>
        <v>-4.894609184999994</v>
      </c>
      <c r="AD60" s="324">
        <f>IF([1]OL!T$3=1,[1]OL!T59,"")</f>
        <v>-4.8290943526036161</v>
      </c>
      <c r="AE60" s="324" t="str">
        <f>IF([1]OL!U$3=1,[1]OL!U59,"")</f>
        <v/>
      </c>
      <c r="AF60" s="327">
        <f>SUM(AC60:AE60)</f>
        <v>-9.7237035376036101</v>
      </c>
      <c r="AG60" s="133">
        <f t="shared" si="64"/>
        <v>-3.5527136788005009E-15</v>
      </c>
      <c r="AH60" s="133">
        <f t="shared" si="64"/>
        <v>-0.6823016875343173</v>
      </c>
      <c r="AI60" s="133">
        <f t="shared" si="64"/>
        <v>0</v>
      </c>
      <c r="AJ60" s="328">
        <f>SUM(AG60:AI60)</f>
        <v>-0.68230168753432086</v>
      </c>
      <c r="AK60" s="73"/>
      <c r="AL60" s="323">
        <f>IF([1]LY!S$3=1,[1]LY!S59,"")</f>
        <v>-2.7098270420000121</v>
      </c>
      <c r="AM60" s="324">
        <f>IF([1]LY!T$3=1,[1]LY!T59,"")</f>
        <v>-2.1395047540000189</v>
      </c>
      <c r="AN60" s="324" t="str">
        <f>IF([1]LY!U$3=1,[1]LY!U59,"")</f>
        <v/>
      </c>
      <c r="AO60" s="329">
        <f>SUM(AL60:AN60)</f>
        <v>-4.8493317960000315</v>
      </c>
      <c r="AP60" s="133">
        <f t="shared" si="65"/>
        <v>-2.1847821429999854</v>
      </c>
      <c r="AQ60" s="133">
        <f t="shared" si="65"/>
        <v>-3.3718912861379144</v>
      </c>
      <c r="AR60" s="133">
        <f t="shared" si="65"/>
        <v>0</v>
      </c>
      <c r="AS60" s="330">
        <f>SUM(AP60:AR60)</f>
        <v>-5.5566734291379003</v>
      </c>
      <c r="AU60" s="323">
        <f>[1]Act!L59</f>
        <v>-4.006431561090908</v>
      </c>
      <c r="AV60" s="136" t="e">
        <f t="shared" si="20"/>
        <v>#VALUE!</v>
      </c>
      <c r="AW60" s="73"/>
      <c r="AX60" s="323">
        <f>IF('[1]FC5+7'!S$3=1,'[1]FC5+7'!S59,"")</f>
        <v>-5.7156871050582003</v>
      </c>
      <c r="AY60" s="324">
        <f>IF('[1]FC5+7'!T$3=1,'[1]FC5+7'!T59,"")</f>
        <v>-5.4427330392420474</v>
      </c>
      <c r="AZ60" s="324" t="str">
        <f>IF('[1]FC5+7'!U$3=1,'[1]FC5+7'!U59,"")</f>
        <v/>
      </c>
      <c r="BA60" s="325">
        <f>SUM(AX60:AZ60)</f>
        <v>-11.158420144300248</v>
      </c>
      <c r="BB60" s="133">
        <f t="shared" si="66"/>
        <v>0.82107792005820279</v>
      </c>
      <c r="BC60" s="133">
        <f t="shared" si="66"/>
        <v>-6.8663000895885951E-2</v>
      </c>
      <c r="BD60" s="133">
        <f t="shared" si="66"/>
        <v>0</v>
      </c>
      <c r="BE60" s="326">
        <f t="shared" si="66"/>
        <v>0.75241491916231595</v>
      </c>
      <c r="BG60" s="323">
        <f t="shared" si="23"/>
        <v>-4.8946091849999975</v>
      </c>
      <c r="BH60" s="324">
        <v>-2.9743162313462701</v>
      </c>
      <c r="BI60" s="324">
        <v>-4.4260202589213655</v>
      </c>
      <c r="BJ60" s="327">
        <f>SUM(BG60:BI60)</f>
        <v>-12.294945675267634</v>
      </c>
      <c r="BK60" s="133">
        <f t="shared" si="25"/>
        <v>-3.5527136788005009E-15</v>
      </c>
      <c r="BL60" s="133">
        <f t="shared" si="25"/>
        <v>-0.6823016875343173</v>
      </c>
      <c r="BM60" s="133">
        <f t="shared" si="26"/>
        <v>0</v>
      </c>
      <c r="BN60" s="328">
        <f t="shared" si="59"/>
        <v>1.8889404501297022</v>
      </c>
      <c r="BP60" s="323">
        <f t="shared" si="28"/>
        <v>-4.8946091849999975</v>
      </c>
      <c r="BQ60" s="324">
        <f t="shared" si="28"/>
        <v>-5.5113960401379334</v>
      </c>
      <c r="BR60" s="324" t="e">
        <f>#REF!</f>
        <v>#REF!</v>
      </c>
      <c r="BS60" s="327" t="e">
        <f>SUM(BP60:BR60)</f>
        <v>#REF!</v>
      </c>
      <c r="BT60" s="133">
        <f t="shared" si="30"/>
        <v>0</v>
      </c>
      <c r="BU60" s="133">
        <f t="shared" si="30"/>
        <v>-0.6823016875343173</v>
      </c>
      <c r="BV60" s="133" t="e">
        <f t="shared" si="30"/>
        <v>#REF!</v>
      </c>
      <c r="BW60" s="328" t="e">
        <f t="shared" si="30"/>
        <v>#REF!</v>
      </c>
      <c r="BY60" s="328" t="e">
        <f t="shared" si="31"/>
        <v>#VALUE!</v>
      </c>
      <c r="CA60" s="325">
        <f>'[1]FC2+10'!AA59</f>
        <v>-18.378143549512664</v>
      </c>
      <c r="CC60" s="328">
        <f t="shared" si="32"/>
        <v>-7.9721383243747326</v>
      </c>
      <c r="CE60" s="323">
        <f>IF('[1]FC7+5'!S$3=1,'[1]FC7+5'!S59,"")</f>
        <v>-5.1425286819647038</v>
      </c>
      <c r="CF60" s="323">
        <f>IF('[1]FC7+5'!T$3=1,'[1]FC7+5'!T59,"")</f>
        <v>-4.8543336569631252</v>
      </c>
      <c r="CG60" s="323" t="str">
        <f>IF('[1]FC7+5'!U$3=1,'[1]FC7+5'!U59,"")</f>
        <v/>
      </c>
      <c r="CH60" s="331">
        <f>SUM(CE60:CG60)</f>
        <v>-9.9968623389278299</v>
      </c>
      <c r="CI60" s="133">
        <f t="shared" si="67"/>
        <v>0.24791949696470628</v>
      </c>
      <c r="CJ60" s="133">
        <f t="shared" si="67"/>
        <v>-0.65706238317480814</v>
      </c>
      <c r="CK60" s="133">
        <f t="shared" si="67"/>
        <v>0</v>
      </c>
      <c r="CL60" s="331">
        <f t="shared" si="67"/>
        <v>-0.40914288621010186</v>
      </c>
      <c r="CM60" s="331">
        <f>IF('[1]FC7+5'!AC$3=1,'[1]FC7+5'!AC59,"")</f>
        <v>-15.907073486284045</v>
      </c>
      <c r="CN60" s="331">
        <f t="shared" si="35"/>
        <v>5.5010682611461128</v>
      </c>
    </row>
    <row r="61" spans="1:92" ht="13.5" customHeight="1" outlineLevel="1">
      <c r="B61" s="332"/>
      <c r="C61" s="333" t="s">
        <v>98</v>
      </c>
      <c r="D61" s="334"/>
      <c r="E61" s="335"/>
      <c r="F61" s="214">
        <f>SUM(F59:F60)</f>
        <v>-5.7556091849999973</v>
      </c>
      <c r="G61" s="214">
        <f>SUM(G59:G60)</f>
        <v>-6.3003960401379331</v>
      </c>
      <c r="H61" s="214">
        <f>SUM(H59:H60)</f>
        <v>0</v>
      </c>
      <c r="I61" s="213">
        <f>SUM(F61:H61)</f>
        <v>-12.05600522513793</v>
      </c>
      <c r="K61" s="214">
        <f>SUM(K59:K60)</f>
        <v>-5.3408660312446408</v>
      </c>
      <c r="L61" s="214">
        <f>SUM(L59:L60)</f>
        <v>-4.848834955707364</v>
      </c>
      <c r="M61" s="214">
        <f>SUM(M59:M60)</f>
        <v>0</v>
      </c>
      <c r="N61" s="271">
        <f>SUM(K61:M61)</f>
        <v>-10.189700986952005</v>
      </c>
      <c r="O61" s="214">
        <f>SUM(O59:O60)</f>
        <v>-0.41474315375535631</v>
      </c>
      <c r="P61" s="214">
        <f>SUM(P59:P60)</f>
        <v>-1.4515610844305693</v>
      </c>
      <c r="Q61" s="214">
        <f>SUM(Q59:Q60)</f>
        <v>0</v>
      </c>
      <c r="R61" s="272">
        <f>SUM(O61:Q61)</f>
        <v>-1.8663042381859256</v>
      </c>
      <c r="S61" s="73"/>
      <c r="T61" s="214">
        <f>SUM(T59:T60)</f>
        <v>-7.0793460150137477</v>
      </c>
      <c r="U61" s="214">
        <f>SUM(U59:U60)</f>
        <v>-6.7743589784775331</v>
      </c>
      <c r="V61" s="214">
        <f>SUM(V59:V60)</f>
        <v>0</v>
      </c>
      <c r="W61" s="273">
        <f>SUM(T61:V61)</f>
        <v>-13.853704993491281</v>
      </c>
      <c r="X61" s="214">
        <f>SUM(X59:X60)</f>
        <v>1.3237368300137506</v>
      </c>
      <c r="Y61" s="214">
        <f>SUM(Y59:Y60)</f>
        <v>0.4739629383395999</v>
      </c>
      <c r="Z61" s="214">
        <f>SUM(Z59:Z60)</f>
        <v>0</v>
      </c>
      <c r="AA61" s="216">
        <f>SUM(X61:Z61)</f>
        <v>1.7976997683533504</v>
      </c>
      <c r="AB61" s="73"/>
      <c r="AC61" s="214">
        <f>SUM(AC59:AC60)</f>
        <v>-5.7556091849999937</v>
      </c>
      <c r="AD61" s="214">
        <f>SUM(AD59:AD60)</f>
        <v>-5.8986338421293887</v>
      </c>
      <c r="AE61" s="214">
        <f>SUM(AE59:AE60)</f>
        <v>0</v>
      </c>
      <c r="AF61" s="336">
        <f>SUM(AC61:AE61)</f>
        <v>-11.654243027129382</v>
      </c>
      <c r="AG61" s="214">
        <f t="shared" si="64"/>
        <v>-3.5527136788005009E-15</v>
      </c>
      <c r="AH61" s="214">
        <f t="shared" si="64"/>
        <v>-0.4017621980085444</v>
      </c>
      <c r="AI61" s="214">
        <f t="shared" si="64"/>
        <v>0</v>
      </c>
      <c r="AJ61" s="284">
        <f>SUM(AG61:AI61)</f>
        <v>-0.40176219800854795</v>
      </c>
      <c r="AK61" s="73"/>
      <c r="AL61" s="214">
        <f>SUM(AL59:AL60)</f>
        <v>-4.3154530420000121</v>
      </c>
      <c r="AM61" s="214">
        <f>SUM(AM59:AM60)</f>
        <v>-3.4837217540000189</v>
      </c>
      <c r="AN61" s="214">
        <f>SUM(AN59:AN60)</f>
        <v>0</v>
      </c>
      <c r="AO61" s="285">
        <f>SUM(AL61:AN61)</f>
        <v>-7.7991747960000311</v>
      </c>
      <c r="AP61" s="214">
        <f>SUM(AP59:AP60)</f>
        <v>-1.4401561429999854</v>
      </c>
      <c r="AQ61" s="337">
        <f>SUM(AQ59:AQ60)</f>
        <v>-2.8166742861379142</v>
      </c>
      <c r="AR61" s="214">
        <f>SUM(AR59:AR60)</f>
        <v>0</v>
      </c>
      <c r="AS61" s="286">
        <f>SUM(AP61:AR61)</f>
        <v>-4.2568304291378993</v>
      </c>
      <c r="AU61" s="214">
        <f>[1]Act!L60</f>
        <v>-4.8106854510909081</v>
      </c>
      <c r="AV61" s="216">
        <f t="shared" si="20"/>
        <v>4.8106854510909081</v>
      </c>
      <c r="AW61" s="73"/>
      <c r="AX61" s="214">
        <f>SUM(AX59:AX60)</f>
        <v>-6.6758651050582003</v>
      </c>
      <c r="AY61" s="214">
        <f>SUM(AY59:AY60)</f>
        <v>-6.2196740392420473</v>
      </c>
      <c r="AZ61" s="214">
        <f>SUM(AZ59:AZ60)</f>
        <v>0</v>
      </c>
      <c r="BA61" s="273">
        <f>SUM(AX61:AZ61)</f>
        <v>-12.895539144300248</v>
      </c>
      <c r="BB61" s="214">
        <f t="shared" si="66"/>
        <v>0.920255920058203</v>
      </c>
      <c r="BC61" s="214">
        <f t="shared" si="66"/>
        <v>-8.072200089588577E-2</v>
      </c>
      <c r="BD61" s="214">
        <f t="shared" si="66"/>
        <v>0</v>
      </c>
      <c r="BE61" s="216">
        <f t="shared" si="66"/>
        <v>0.83953391916231723</v>
      </c>
      <c r="BG61" s="214">
        <f t="shared" si="23"/>
        <v>-5.7556091849999973</v>
      </c>
      <c r="BH61" s="214">
        <v>-3.9114144561328361</v>
      </c>
      <c r="BI61" s="214">
        <v>-7.7889688868438203</v>
      </c>
      <c r="BJ61" s="336">
        <f>SUM(BG61:BI61)</f>
        <v>-17.455992527976655</v>
      </c>
      <c r="BK61" s="214">
        <f t="shared" si="25"/>
        <v>-3.5527136788005009E-15</v>
      </c>
      <c r="BL61" s="214">
        <f t="shared" si="25"/>
        <v>-0.4017621980085444</v>
      </c>
      <c r="BM61" s="214">
        <f t="shared" si="26"/>
        <v>-4.3154530420000121</v>
      </c>
      <c r="BN61" s="284">
        <f t="shared" si="59"/>
        <v>5.3999873028387242</v>
      </c>
      <c r="BP61" s="214">
        <f t="shared" si="28"/>
        <v>-5.7556091849999973</v>
      </c>
      <c r="BQ61" s="214">
        <f t="shared" si="28"/>
        <v>-6.3003960401379331</v>
      </c>
      <c r="BR61" s="214" t="e">
        <f>#REF!</f>
        <v>#REF!</v>
      </c>
      <c r="BS61" s="336" t="e">
        <f>SUM(BP61:BR61)</f>
        <v>#REF!</v>
      </c>
      <c r="BT61" s="214">
        <f t="shared" si="30"/>
        <v>0</v>
      </c>
      <c r="BU61" s="214">
        <f t="shared" si="30"/>
        <v>-0.4017621980085444</v>
      </c>
      <c r="BV61" s="214" t="e">
        <f t="shared" si="30"/>
        <v>#REF!</v>
      </c>
      <c r="BW61" s="284" t="e">
        <f t="shared" si="30"/>
        <v>#REF!</v>
      </c>
      <c r="BY61" s="284" t="e">
        <f t="shared" si="31"/>
        <v>#REF!</v>
      </c>
      <c r="CA61" s="273">
        <f>'[1]FC2+10'!AA60</f>
        <v>-22.866055164109774</v>
      </c>
      <c r="CC61" s="284">
        <f t="shared" si="32"/>
        <v>-10.810049938971844</v>
      </c>
      <c r="CE61" s="214">
        <f>SUM(CE59:CE60)</f>
        <v>-6.3429018225277893</v>
      </c>
      <c r="CF61" s="214">
        <f>SUM(CF59:CF60)</f>
        <v>-5.9238731464888978</v>
      </c>
      <c r="CG61" s="214">
        <f>SUM(CG59:CG60)</f>
        <v>0</v>
      </c>
      <c r="CH61" s="274">
        <f>SUM(CE61:CG61)</f>
        <v>-12.266774969016687</v>
      </c>
      <c r="CI61" s="214">
        <f t="shared" si="67"/>
        <v>0.58729263752779204</v>
      </c>
      <c r="CJ61" s="214">
        <f t="shared" si="67"/>
        <v>-0.37652289364903524</v>
      </c>
      <c r="CK61" s="214">
        <f t="shared" si="67"/>
        <v>0</v>
      </c>
      <c r="CL61" s="274">
        <f t="shared" si="67"/>
        <v>0.2107697438787568</v>
      </c>
      <c r="CM61" s="274">
        <f>SUM(CM59:CM60)</f>
        <v>-21.949220579307493</v>
      </c>
      <c r="CN61" s="274">
        <f t="shared" si="35"/>
        <v>9.8932153541695627</v>
      </c>
    </row>
    <row r="62" spans="1:92">
      <c r="A62" s="338"/>
      <c r="B62" s="338"/>
      <c r="C62" s="338"/>
      <c r="D62" s="338"/>
      <c r="E62" s="338"/>
      <c r="F62" s="338"/>
      <c r="G62" s="338"/>
      <c r="H62" s="338"/>
      <c r="I62" s="338"/>
      <c r="K62" s="338"/>
      <c r="L62" s="338"/>
      <c r="M62" s="338"/>
      <c r="N62" s="338"/>
      <c r="O62" s="338"/>
      <c r="P62" s="338"/>
      <c r="Q62" s="338"/>
      <c r="R62" s="338"/>
      <c r="T62" s="338"/>
      <c r="U62" s="338"/>
      <c r="V62" s="338"/>
      <c r="W62" s="339"/>
      <c r="X62" s="338"/>
      <c r="Y62" s="338"/>
      <c r="Z62" s="338"/>
      <c r="AA62" s="339"/>
      <c r="AC62" s="338"/>
      <c r="AD62" s="338"/>
      <c r="AE62" s="338"/>
      <c r="AF62" s="339"/>
      <c r="AG62" s="338"/>
      <c r="AH62" s="338"/>
      <c r="AI62" s="338"/>
      <c r="AJ62" s="339"/>
      <c r="AL62" s="338"/>
      <c r="AM62" s="338"/>
      <c r="AN62" s="338"/>
      <c r="AO62" s="339"/>
      <c r="AP62" s="338"/>
      <c r="AQ62" s="338"/>
      <c r="AR62" s="338"/>
      <c r="AS62" s="339"/>
      <c r="AU62" s="338"/>
      <c r="AV62" s="340"/>
      <c r="AX62" s="338"/>
      <c r="AY62" s="338"/>
      <c r="AZ62" s="338"/>
      <c r="BA62" s="339"/>
      <c r="BB62" s="338"/>
      <c r="BC62" s="338"/>
      <c r="BD62" s="338"/>
      <c r="BE62" s="339"/>
      <c r="BG62" s="338"/>
      <c r="BH62" s="338"/>
      <c r="BI62" s="338"/>
      <c r="BJ62" s="339"/>
      <c r="BK62" s="338"/>
      <c r="BL62" s="338"/>
      <c r="BM62" s="338"/>
      <c r="BN62" s="339"/>
      <c r="BP62" s="338"/>
      <c r="BQ62" s="338"/>
      <c r="BR62" s="338"/>
      <c r="BS62" s="339"/>
      <c r="BT62" s="338"/>
      <c r="BU62" s="338"/>
      <c r="BV62" s="338"/>
      <c r="BW62" s="339"/>
      <c r="BY62" s="339"/>
      <c r="CA62" s="339">
        <f>'[1]FC2+10'!AA61</f>
        <v>0</v>
      </c>
      <c r="CC62" s="339">
        <f t="shared" si="32"/>
        <v>0</v>
      </c>
      <c r="CE62" s="338"/>
      <c r="CF62" s="338"/>
      <c r="CG62" s="338"/>
      <c r="CH62" s="341"/>
      <c r="CI62" s="338"/>
      <c r="CJ62" s="338"/>
      <c r="CK62" s="338"/>
      <c r="CL62" s="341"/>
      <c r="CM62" s="342"/>
      <c r="CN62" s="342"/>
    </row>
    <row r="63" spans="1:92">
      <c r="A63" s="338" t="s">
        <v>48</v>
      </c>
      <c r="B63" s="338"/>
      <c r="C63" s="338"/>
      <c r="D63" s="242" t="s">
        <v>49</v>
      </c>
      <c r="E63" s="219"/>
      <c r="F63" s="214">
        <f>IF([1]Act!S$3=1,[1]Act!S62,"")</f>
        <v>-0.2891209126082982</v>
      </c>
      <c r="G63" s="214">
        <f>IF([1]Act!T$3=1,[1]Act!T62,"")</f>
        <v>-1.829214495511436</v>
      </c>
      <c r="H63" s="214" t="str">
        <f>IF([1]Act!U$3=1,[1]Act!U62,"")</f>
        <v/>
      </c>
      <c r="I63" s="213">
        <f t="shared" ref="I63:I74" si="68">SUM(F63:H63)</f>
        <v>-2.1183354081197341</v>
      </c>
      <c r="K63" s="214">
        <f>IF([1]BP!S$3=1,[1]BP!S62,"")</f>
        <v>-2.0573639297491026</v>
      </c>
      <c r="L63" s="214">
        <f>IF([1]BP!T$3=1,[1]BP!T62,"")</f>
        <v>-2.0473029461520333</v>
      </c>
      <c r="M63" s="214" t="str">
        <f>IF([1]BP!U$3=1,[1]BP!U62,"")</f>
        <v/>
      </c>
      <c r="N63" s="271">
        <f t="shared" ref="N63:N74" si="69">SUM(K63:M63)</f>
        <v>-4.1046668759011364</v>
      </c>
      <c r="O63" s="343">
        <f t="shared" ref="O63:Q78" si="70">IFERROR(F63-K63,0)</f>
        <v>1.7682430171408043</v>
      </c>
      <c r="P63" s="343">
        <f t="shared" si="70"/>
        <v>0.21808845064059734</v>
      </c>
      <c r="Q63" s="343">
        <f t="shared" si="70"/>
        <v>0</v>
      </c>
      <c r="R63" s="272">
        <f t="shared" ref="R63:R73" si="71">I63-N63</f>
        <v>1.9863314677814023</v>
      </c>
      <c r="T63" s="214">
        <f>IF('[1]FC2+10'!S$3=1,'[1]FC2+10'!S62,"")</f>
        <v>-1.9396369980707124</v>
      </c>
      <c r="U63" s="214">
        <f>IF('[1]FC2+10'!T$3=1,'[1]FC2+10'!T62,"")</f>
        <v>-1.821422300297197</v>
      </c>
      <c r="V63" s="214" t="str">
        <f>IF('[1]FC2+10'!U$3=1,'[1]FC2+10'!U62,"")</f>
        <v/>
      </c>
      <c r="W63" s="263">
        <f t="shared" ref="W63:W79" si="72">SUM(T63:V63)</f>
        <v>-3.7610592983679094</v>
      </c>
      <c r="X63" s="343">
        <f t="shared" ref="X63:Z78" si="73">IFERROR(F63-T63,0)</f>
        <v>1.6505160854624141</v>
      </c>
      <c r="Y63" s="343">
        <f t="shared" si="73"/>
        <v>-7.7921952142390172E-3</v>
      </c>
      <c r="Z63" s="343">
        <f t="shared" si="73"/>
        <v>0</v>
      </c>
      <c r="AA63" s="264">
        <f t="shared" ref="AA63:AA79" si="74">I63-W63</f>
        <v>1.6427238902481753</v>
      </c>
      <c r="AC63" s="214">
        <f>IF([1]OL!S$3=1,[1]OL!S62,"")</f>
        <v>-0.2891209126082982</v>
      </c>
      <c r="AD63" s="214">
        <f>IF([1]OL!T$3=1,[1]OL!T62,"")</f>
        <v>-1.0329363860771814</v>
      </c>
      <c r="AE63" s="214" t="str">
        <f>IF([1]OL!U$3=1,[1]OL!U62,"")</f>
        <v/>
      </c>
      <c r="AF63" s="336">
        <f t="shared" ref="AF63:AF73" si="75">SUM(AC63:AE63)</f>
        <v>-1.3220572986854795</v>
      </c>
      <c r="AG63" s="343">
        <f t="shared" ref="AG63:AJ78" si="76">IFERROR(F63-AC63,0)</f>
        <v>0</v>
      </c>
      <c r="AH63" s="343">
        <f t="shared" si="76"/>
        <v>-0.79627810943425459</v>
      </c>
      <c r="AI63" s="343">
        <f t="shared" si="76"/>
        <v>0</v>
      </c>
      <c r="AJ63" s="344">
        <f t="shared" si="76"/>
        <v>-0.79627810943425459</v>
      </c>
      <c r="AL63" s="214">
        <f>IF([1]LY!S$3=1,[1]LY!S62,"")</f>
        <v>-1.4197714045076917</v>
      </c>
      <c r="AM63" s="214">
        <f>IF([1]LY!T$3=1,[1]LY!T62,"")</f>
        <v>-1.7189130779928081</v>
      </c>
      <c r="AN63" s="214" t="str">
        <f>IF([1]LY!U$3=1,[1]LY!U62,"")</f>
        <v/>
      </c>
      <c r="AO63" s="345">
        <f t="shared" ref="AO63:AO74" si="77">SUM(AL63:AN63)</f>
        <v>-3.1386844825004996</v>
      </c>
      <c r="AP63" s="343">
        <f t="shared" ref="AP63:AS78" si="78">IFERROR(F63-AL63,0)</f>
        <v>1.1306504918993934</v>
      </c>
      <c r="AQ63" s="343">
        <f t="shared" si="78"/>
        <v>-0.11030141751862788</v>
      </c>
      <c r="AR63" s="343">
        <f t="shared" si="58"/>
        <v>0</v>
      </c>
      <c r="AS63" s="346">
        <f t="shared" si="58"/>
        <v>1.0203490743807655</v>
      </c>
      <c r="AU63" s="214">
        <f>[1]Act!L62</f>
        <v>-1.1950801823577795</v>
      </c>
      <c r="AV63" s="347" t="e">
        <f t="shared" si="20"/>
        <v>#VALUE!</v>
      </c>
      <c r="AX63" s="214">
        <f>IF('[1]FC5+7'!S$3=1,'[1]FC5+7'!S62,"")</f>
        <v>-1.1949304757237191</v>
      </c>
      <c r="AY63" s="214">
        <f>IF('[1]FC5+7'!T$3=1,'[1]FC5+7'!T62,"")</f>
        <v>-1.4941437379146199</v>
      </c>
      <c r="AZ63" s="214" t="str">
        <f>IF('[1]FC5+7'!U$3=1,'[1]FC5+7'!U62,"")</f>
        <v/>
      </c>
      <c r="BA63" s="263">
        <f t="shared" ref="BA63:BA75" si="79">SUM(AX63:AZ63)</f>
        <v>-2.6890742136383388</v>
      </c>
      <c r="BB63" s="348">
        <f t="shared" ref="BB63:BE75" si="80">IFERROR(F63-AX63,0)</f>
        <v>0.90580956311542093</v>
      </c>
      <c r="BC63" s="343">
        <f t="shared" si="80"/>
        <v>-0.33507075759681615</v>
      </c>
      <c r="BD63" s="343">
        <f t="shared" si="80"/>
        <v>0</v>
      </c>
      <c r="BE63" s="264">
        <f t="shared" si="80"/>
        <v>0.57073880551860467</v>
      </c>
      <c r="BG63" s="214">
        <f t="shared" si="23"/>
        <v>-0.2891209126082982</v>
      </c>
      <c r="BH63" s="214">
        <v>-1.9370230578080589</v>
      </c>
      <c r="BI63" s="214">
        <v>-2.2181609070604011</v>
      </c>
      <c r="BJ63" s="336">
        <f t="shared" ref="BJ63:BJ73" si="81">SUM(BG63:BI63)</f>
        <v>-4.4443048774767586</v>
      </c>
      <c r="BK63" s="343">
        <f t="shared" si="25"/>
        <v>0</v>
      </c>
      <c r="BL63" s="343">
        <f t="shared" si="25"/>
        <v>-0.79627810943425459</v>
      </c>
      <c r="BM63" s="343">
        <f t="shared" si="26"/>
        <v>0</v>
      </c>
      <c r="BN63" s="344">
        <f t="shared" si="59"/>
        <v>2.3259694693570245</v>
      </c>
      <c r="BP63" s="214">
        <f t="shared" si="28"/>
        <v>-0.2891209126082982</v>
      </c>
      <c r="BQ63" s="214">
        <f t="shared" si="28"/>
        <v>-1.829214495511436</v>
      </c>
      <c r="BR63" s="214" t="e">
        <f>#REF!</f>
        <v>#REF!</v>
      </c>
      <c r="BS63" s="336" t="e">
        <f t="shared" ref="BS63:BS73" si="82">SUM(BP63:BR63)</f>
        <v>#REF!</v>
      </c>
      <c r="BT63" s="343">
        <f t="shared" si="30"/>
        <v>0</v>
      </c>
      <c r="BU63" s="343">
        <f t="shared" si="30"/>
        <v>-0.79627810943425459</v>
      </c>
      <c r="BV63" s="343" t="e">
        <f t="shared" si="30"/>
        <v>#REF!</v>
      </c>
      <c r="BW63" s="344" t="e">
        <f t="shared" si="30"/>
        <v>#REF!</v>
      </c>
      <c r="BY63" s="344" t="e">
        <f t="shared" si="31"/>
        <v>#VALUE!</v>
      </c>
      <c r="CA63" s="263">
        <f>'[1]FC2+10'!AA62</f>
        <v>-6.0411989332484577</v>
      </c>
      <c r="CC63" s="344">
        <f t="shared" si="32"/>
        <v>-3.9228635251287236</v>
      </c>
      <c r="CE63" s="214">
        <f>IF('[1]FC7+5'!S$3=1,'[1]FC7+5'!S62,"")</f>
        <v>-2.1581402004738646</v>
      </c>
      <c r="CF63" s="214">
        <f>IF('[1]FC7+5'!T$3=1,'[1]FC7+5'!T62,"")</f>
        <v>-1.1511476073611397</v>
      </c>
      <c r="CG63" s="214" t="str">
        <f>IF('[1]FC7+5'!U$3=1,'[1]FC7+5'!U62,"")</f>
        <v/>
      </c>
      <c r="CH63" s="266">
        <f t="shared" ref="CH63:CH75" si="83">SUM(CE63:CG63)</f>
        <v>-3.3092878078350045</v>
      </c>
      <c r="CI63" s="348">
        <f t="shared" ref="CI63:CL78" si="84">IFERROR(F63-CE63,0)</f>
        <v>1.8690192878655663</v>
      </c>
      <c r="CJ63" s="343">
        <f t="shared" si="84"/>
        <v>-0.67806688815029625</v>
      </c>
      <c r="CK63" s="343">
        <f t="shared" si="84"/>
        <v>0</v>
      </c>
      <c r="CL63" s="266">
        <f t="shared" si="84"/>
        <v>1.1909523997152704</v>
      </c>
      <c r="CM63" s="266">
        <f>IF('[1]FC7+5'!AC$3=1,'[1]FC7+5'!AC62,"")</f>
        <v>-4.2715757860079107</v>
      </c>
      <c r="CN63" s="266">
        <f t="shared" si="35"/>
        <v>2.1532403778881766</v>
      </c>
    </row>
    <row r="64" spans="1:92">
      <c r="A64" s="338" t="s">
        <v>50</v>
      </c>
      <c r="B64" s="338"/>
      <c r="C64" s="338"/>
      <c r="D64" s="242" t="s">
        <v>51</v>
      </c>
      <c r="E64" s="219"/>
      <c r="F64" s="214">
        <f>IF([1]Act!S$3=1,[1]Act!S63,"")</f>
        <v>20.821520692376762</v>
      </c>
      <c r="G64" s="214">
        <f>IF([1]Act!T$3=1,[1]Act!T63,"")</f>
        <v>24.501378873552966</v>
      </c>
      <c r="H64" s="214" t="str">
        <f>IF([1]Act!U$3=1,[1]Act!U63,"")</f>
        <v/>
      </c>
      <c r="I64" s="213">
        <f t="shared" si="68"/>
        <v>45.322899565929731</v>
      </c>
      <c r="K64" s="214">
        <f>IF([1]BP!S$3=1,[1]BP!S63,"")</f>
        <v>17.963961307721753</v>
      </c>
      <c r="L64" s="214">
        <f>IF([1]BP!T$3=1,[1]BP!T63,"")</f>
        <v>17.715282174678119</v>
      </c>
      <c r="M64" s="214" t="str">
        <f>IF([1]BP!U$3=1,[1]BP!U63,"")</f>
        <v/>
      </c>
      <c r="N64" s="271">
        <f t="shared" si="69"/>
        <v>35.679243482399869</v>
      </c>
      <c r="O64" s="343">
        <f t="shared" si="70"/>
        <v>2.8575593846550085</v>
      </c>
      <c r="P64" s="343">
        <f t="shared" si="70"/>
        <v>6.7860966988748466</v>
      </c>
      <c r="Q64" s="343">
        <f t="shared" si="70"/>
        <v>0</v>
      </c>
      <c r="R64" s="272">
        <f t="shared" si="71"/>
        <v>9.6436560835298621</v>
      </c>
      <c r="T64" s="214" t="e">
        <f>IF('[1]FC2+10'!S$3=1,'[1]FC2+10'!S63,"")</f>
        <v>#VALUE!</v>
      </c>
      <c r="U64" s="214" t="e">
        <f>IF('[1]FC2+10'!T$3=1,'[1]FC2+10'!T63,"")</f>
        <v>#VALUE!</v>
      </c>
      <c r="V64" s="214" t="str">
        <f>IF('[1]FC2+10'!U$3=1,'[1]FC2+10'!U63,"")</f>
        <v/>
      </c>
      <c r="W64" s="263" t="e">
        <f t="shared" si="72"/>
        <v>#VALUE!</v>
      </c>
      <c r="X64" s="343">
        <f t="shared" si="73"/>
        <v>0</v>
      </c>
      <c r="Y64" s="343">
        <f t="shared" si="73"/>
        <v>0</v>
      </c>
      <c r="Z64" s="343">
        <f t="shared" si="73"/>
        <v>0</v>
      </c>
      <c r="AA64" s="264" t="e">
        <f t="shared" si="74"/>
        <v>#VALUE!</v>
      </c>
      <c r="AC64" s="214">
        <f>IF([1]OL!S$3=1,[1]OL!S63,"")</f>
        <v>20.821520692376762</v>
      </c>
      <c r="AD64" s="214">
        <f>IF([1]OL!T$3=1,[1]OL!T63,"")</f>
        <v>21.982158005054945</v>
      </c>
      <c r="AE64" s="214" t="str">
        <f>IF([1]OL!U$3=1,[1]OL!U63,"")</f>
        <v/>
      </c>
      <c r="AF64" s="336">
        <f t="shared" si="75"/>
        <v>42.803678697431707</v>
      </c>
      <c r="AG64" s="343">
        <f t="shared" si="76"/>
        <v>0</v>
      </c>
      <c r="AH64" s="343">
        <f t="shared" si="76"/>
        <v>2.5192208684980208</v>
      </c>
      <c r="AI64" s="343">
        <f t="shared" si="76"/>
        <v>0</v>
      </c>
      <c r="AJ64" s="344">
        <f t="shared" si="76"/>
        <v>2.5192208684980244</v>
      </c>
      <c r="AL64" s="214">
        <f>IF([1]LY!S$3=1,[1]LY!S63,"")</f>
        <v>33.778944907592496</v>
      </c>
      <c r="AM64" s="214">
        <f>IF([1]LY!T$3=1,[1]LY!T63,"")</f>
        <v>37.394048359359708</v>
      </c>
      <c r="AN64" s="214" t="str">
        <f>IF([1]LY!U$3=1,[1]LY!U63,"")</f>
        <v/>
      </c>
      <c r="AO64" s="345">
        <f t="shared" si="77"/>
        <v>71.172993266952204</v>
      </c>
      <c r="AP64" s="343">
        <f t="shared" si="78"/>
        <v>-12.957424215215735</v>
      </c>
      <c r="AQ64" s="343">
        <f t="shared" si="78"/>
        <v>-12.892669485806742</v>
      </c>
      <c r="AR64" s="343">
        <f t="shared" si="58"/>
        <v>0</v>
      </c>
      <c r="AS64" s="346">
        <f t="shared" si="58"/>
        <v>-25.850093701022473</v>
      </c>
      <c r="AU64" s="214">
        <f>[1]Act!L63</f>
        <v>24.88120383916127</v>
      </c>
      <c r="AV64" s="347" t="e">
        <f t="shared" si="20"/>
        <v>#VALUE!</v>
      </c>
      <c r="AX64" s="214">
        <f>IF('[1]FC5+7'!S$3=1,'[1]FC5+7'!S63,"")</f>
        <v>15.868939719888314</v>
      </c>
      <c r="AY64" s="214">
        <f>IF('[1]FC5+7'!T$3=1,'[1]FC5+7'!T63,"")</f>
        <v>17.259652281681866</v>
      </c>
      <c r="AZ64" s="214" t="str">
        <f>IF('[1]FC5+7'!U$3=1,'[1]FC5+7'!U63,"")</f>
        <v/>
      </c>
      <c r="BA64" s="263">
        <f t="shared" si="79"/>
        <v>33.128592001570183</v>
      </c>
      <c r="BB64" s="348">
        <f t="shared" si="80"/>
        <v>4.9525809724884482</v>
      </c>
      <c r="BC64" s="343">
        <f t="shared" si="80"/>
        <v>7.2417265918710996</v>
      </c>
      <c r="BD64" s="343">
        <f t="shared" si="80"/>
        <v>0</v>
      </c>
      <c r="BE64" s="264">
        <f t="shared" si="80"/>
        <v>12.194307564359548</v>
      </c>
      <c r="BG64" s="214">
        <f t="shared" si="23"/>
        <v>20.821520692376762</v>
      </c>
      <c r="BH64" s="214">
        <v>12.864467150287958</v>
      </c>
      <c r="BI64" s="214">
        <v>22.950198190217154</v>
      </c>
      <c r="BJ64" s="336">
        <f t="shared" si="81"/>
        <v>56.636186032881866</v>
      </c>
      <c r="BK64" s="343">
        <f t="shared" si="25"/>
        <v>0</v>
      </c>
      <c r="BL64" s="343">
        <f t="shared" si="25"/>
        <v>2.5192208684980208</v>
      </c>
      <c r="BM64" s="343">
        <f t="shared" si="26"/>
        <v>0</v>
      </c>
      <c r="BN64" s="344">
        <f t="shared" si="59"/>
        <v>-11.313286466952135</v>
      </c>
      <c r="BP64" s="214">
        <f t="shared" si="28"/>
        <v>20.821520692376762</v>
      </c>
      <c r="BQ64" s="214">
        <f t="shared" si="28"/>
        <v>24.501378873552966</v>
      </c>
      <c r="BR64" s="214" t="e">
        <f>#REF!</f>
        <v>#REF!</v>
      </c>
      <c r="BS64" s="336" t="e">
        <f t="shared" si="82"/>
        <v>#REF!</v>
      </c>
      <c r="BT64" s="343">
        <f t="shared" si="30"/>
        <v>0</v>
      </c>
      <c r="BU64" s="343">
        <f t="shared" si="30"/>
        <v>2.5192208684980208</v>
      </c>
      <c r="BV64" s="343" t="e">
        <f t="shared" si="30"/>
        <v>#REF!</v>
      </c>
      <c r="BW64" s="344" t="e">
        <f t="shared" si="30"/>
        <v>#REF!</v>
      </c>
      <c r="BY64" s="344" t="e">
        <f t="shared" si="31"/>
        <v>#VALUE!</v>
      </c>
      <c r="CA64" s="263" t="e">
        <f>'[1]FC2+10'!AA63</f>
        <v>#VALUE!</v>
      </c>
      <c r="CC64" s="344" t="e">
        <f t="shared" si="32"/>
        <v>#VALUE!</v>
      </c>
      <c r="CE64" s="214">
        <f>IF('[1]FC7+5'!S$3=1,'[1]FC7+5'!S63,"")</f>
        <v>14.124424457282904</v>
      </c>
      <c r="CF64" s="214">
        <f>IF('[1]FC7+5'!T$3=1,'[1]FC7+5'!T63,"")</f>
        <v>17.24431347409902</v>
      </c>
      <c r="CG64" s="214" t="str">
        <f>IF('[1]FC7+5'!U$3=1,'[1]FC7+5'!U63,"")</f>
        <v/>
      </c>
      <c r="CH64" s="266">
        <f t="shared" si="83"/>
        <v>31.368737931381922</v>
      </c>
      <c r="CI64" s="348">
        <f t="shared" si="84"/>
        <v>6.6970962350938574</v>
      </c>
      <c r="CJ64" s="343">
        <f t="shared" si="84"/>
        <v>7.2570653994539462</v>
      </c>
      <c r="CK64" s="343">
        <f t="shared" si="84"/>
        <v>0</v>
      </c>
      <c r="CL64" s="266">
        <f t="shared" si="84"/>
        <v>13.954161634547809</v>
      </c>
      <c r="CM64" s="266">
        <f>IF('[1]FC7+5'!AC$3=1,'[1]FC7+5'!AC63,"")</f>
        <v>56.820423283167763</v>
      </c>
      <c r="CN64" s="266">
        <f t="shared" si="35"/>
        <v>-11.497523717238032</v>
      </c>
    </row>
    <row r="65" spans="1:92">
      <c r="A65" s="338" t="s">
        <v>45</v>
      </c>
      <c r="B65" s="338"/>
      <c r="C65" s="338"/>
      <c r="D65" s="242" t="s">
        <v>52</v>
      </c>
      <c r="E65" s="219"/>
      <c r="F65" s="214">
        <f>IF([1]Act!S$3=1,[1]Act!S64,"")</f>
        <v>6.4000510820000009</v>
      </c>
      <c r="G65" s="214">
        <f>IF([1]Act!T$3=1,[1]Act!T64,"")</f>
        <v>3.9312561799999983</v>
      </c>
      <c r="H65" s="214" t="str">
        <f>IF([1]Act!U$3=1,[1]Act!U64,"")</f>
        <v/>
      </c>
      <c r="I65" s="213">
        <f t="shared" si="68"/>
        <v>10.331307261999999</v>
      </c>
      <c r="K65" s="214">
        <f>IF([1]BP!S$3=1,[1]BP!S64,"")</f>
        <v>6.3783135999848906</v>
      </c>
      <c r="L65" s="214">
        <f>IF([1]BP!T$3=1,[1]BP!T64,"")</f>
        <v>6.5421776642956075</v>
      </c>
      <c r="M65" s="214" t="str">
        <f>IF([1]BP!U$3=1,[1]BP!U64,"")</f>
        <v/>
      </c>
      <c r="N65" s="271">
        <f t="shared" si="69"/>
        <v>12.920491264280498</v>
      </c>
      <c r="O65" s="343">
        <f t="shared" si="70"/>
        <v>2.1737482015110388E-2</v>
      </c>
      <c r="P65" s="343">
        <f t="shared" si="70"/>
        <v>-2.6109214842956092</v>
      </c>
      <c r="Q65" s="343">
        <f t="shared" si="70"/>
        <v>0</v>
      </c>
      <c r="R65" s="272">
        <f t="shared" si="71"/>
        <v>-2.5891840022804988</v>
      </c>
      <c r="T65" s="214">
        <f>IF('[1]FC2+10'!S$3=1,'[1]FC2+10'!S64,"")</f>
        <v>7.3968599700000013</v>
      </c>
      <c r="U65" s="214">
        <f>IF('[1]FC2+10'!T$3=1,'[1]FC2+10'!T64,"")</f>
        <v>4.8351443089999986</v>
      </c>
      <c r="V65" s="214" t="str">
        <f>IF('[1]FC2+10'!U$3=1,'[1]FC2+10'!U64,"")</f>
        <v/>
      </c>
      <c r="W65" s="263">
        <f t="shared" si="72"/>
        <v>12.232004279</v>
      </c>
      <c r="X65" s="343">
        <f t="shared" si="73"/>
        <v>-0.99680888800000034</v>
      </c>
      <c r="Y65" s="349">
        <f t="shared" si="73"/>
        <v>-0.90388812900000026</v>
      </c>
      <c r="Z65" s="343">
        <f t="shared" si="73"/>
        <v>0</v>
      </c>
      <c r="AA65" s="264">
        <f t="shared" si="74"/>
        <v>-1.9006970170000006</v>
      </c>
      <c r="AC65" s="214">
        <f>IF([1]OL!S$3=1,[1]OL!S64,"")</f>
        <v>6.4000510820000009</v>
      </c>
      <c r="AD65" s="214">
        <f>IF([1]OL!T$3=1,[1]OL!T64,"")</f>
        <v>3.9334494769998276</v>
      </c>
      <c r="AE65" s="214" t="str">
        <f>IF([1]OL!U$3=1,[1]OL!U64,"")</f>
        <v/>
      </c>
      <c r="AF65" s="336">
        <f t="shared" si="75"/>
        <v>10.333500558999829</v>
      </c>
      <c r="AG65" s="343">
        <f t="shared" si="76"/>
        <v>0</v>
      </c>
      <c r="AH65" s="343">
        <f t="shared" si="76"/>
        <v>-2.1932969998292862E-3</v>
      </c>
      <c r="AI65" s="343">
        <f t="shared" si="76"/>
        <v>0</v>
      </c>
      <c r="AJ65" s="344">
        <f t="shared" si="76"/>
        <v>-2.1932969998292862E-3</v>
      </c>
      <c r="AL65" s="214">
        <f>IF([1]LY!S$3=1,[1]LY!S64,"")</f>
        <v>5.9974327239999994</v>
      </c>
      <c r="AM65" s="214">
        <f>IF([1]LY!T$3=1,[1]LY!T64,"")</f>
        <v>6.4193249829999957</v>
      </c>
      <c r="AN65" s="214" t="str">
        <f>IF([1]LY!U$3=1,[1]LY!U64,"")</f>
        <v/>
      </c>
      <c r="AO65" s="345">
        <f t="shared" si="77"/>
        <v>12.416757706999995</v>
      </c>
      <c r="AP65" s="343">
        <f t="shared" si="78"/>
        <v>0.40261835800000156</v>
      </c>
      <c r="AQ65" s="343">
        <f t="shared" si="78"/>
        <v>-2.4880688029999973</v>
      </c>
      <c r="AR65" s="343">
        <f t="shared" si="58"/>
        <v>0</v>
      </c>
      <c r="AS65" s="346">
        <f t="shared" si="58"/>
        <v>-2.0854504449999958</v>
      </c>
      <c r="AU65" s="214">
        <f>[1]Act!L64</f>
        <v>4.1163949669999997</v>
      </c>
      <c r="AV65" s="347" t="e">
        <f t="shared" si="20"/>
        <v>#VALUE!</v>
      </c>
      <c r="AX65" s="214">
        <f>IF('[1]FC5+7'!S$3=1,'[1]FC5+7'!S64,"")</f>
        <v>6.2270678330000031</v>
      </c>
      <c r="AY65" s="214">
        <f>IF('[1]FC5+7'!T$3=1,'[1]FC5+7'!T64,"")</f>
        <v>4.2401773179999989</v>
      </c>
      <c r="AZ65" s="214" t="str">
        <f>IF('[1]FC5+7'!U$3=1,'[1]FC5+7'!U64,"")</f>
        <v/>
      </c>
      <c r="BA65" s="263">
        <f t="shared" si="79"/>
        <v>10.467245151000002</v>
      </c>
      <c r="BB65" s="348">
        <f t="shared" si="80"/>
        <v>0.17298324899999784</v>
      </c>
      <c r="BC65" s="349">
        <f t="shared" si="80"/>
        <v>-0.30892113800000054</v>
      </c>
      <c r="BD65" s="343">
        <f t="shared" si="80"/>
        <v>0</v>
      </c>
      <c r="BE65" s="264">
        <f t="shared" si="80"/>
        <v>-0.1359378890000027</v>
      </c>
      <c r="BG65" s="214">
        <f t="shared" si="23"/>
        <v>6.4000510820000009</v>
      </c>
      <c r="BH65" s="214">
        <v>5.2813312818932943</v>
      </c>
      <c r="BI65" s="214">
        <v>2.5835055260633606</v>
      </c>
      <c r="BJ65" s="336">
        <f t="shared" si="81"/>
        <v>14.264887889956656</v>
      </c>
      <c r="BK65" s="343">
        <f t="shared" si="25"/>
        <v>0</v>
      </c>
      <c r="BL65" s="343">
        <f t="shared" si="25"/>
        <v>-2.1932969998292862E-3</v>
      </c>
      <c r="BM65" s="343">
        <f t="shared" si="26"/>
        <v>0</v>
      </c>
      <c r="BN65" s="344">
        <f t="shared" si="59"/>
        <v>-3.9335806279566565</v>
      </c>
      <c r="BP65" s="214">
        <f t="shared" si="28"/>
        <v>6.4000510820000009</v>
      </c>
      <c r="BQ65" s="214">
        <f t="shared" si="28"/>
        <v>3.9312561799999983</v>
      </c>
      <c r="BR65" s="214" t="e">
        <f>#REF!</f>
        <v>#REF!</v>
      </c>
      <c r="BS65" s="336" t="e">
        <f t="shared" si="82"/>
        <v>#REF!</v>
      </c>
      <c r="BT65" s="343">
        <f t="shared" si="30"/>
        <v>0</v>
      </c>
      <c r="BU65" s="343">
        <f t="shared" si="30"/>
        <v>-2.1932969998292862E-3</v>
      </c>
      <c r="BV65" s="343" t="e">
        <f t="shared" si="30"/>
        <v>#REF!</v>
      </c>
      <c r="BW65" s="344" t="e">
        <f t="shared" si="30"/>
        <v>#REF!</v>
      </c>
      <c r="BY65" s="344" t="e">
        <f t="shared" si="31"/>
        <v>#VALUE!</v>
      </c>
      <c r="CA65" s="263">
        <f>'[1]FC2+10'!AA64</f>
        <v>7.8481605319999979</v>
      </c>
      <c r="CC65" s="344">
        <f t="shared" si="32"/>
        <v>-2.4831467300000014</v>
      </c>
      <c r="CE65" s="214">
        <f>IF('[1]FC7+5'!S$3=1,'[1]FC7+5'!S64,"")</f>
        <v>6.2490244349999973</v>
      </c>
      <c r="CF65" s="214">
        <f>IF('[1]FC7+5'!T$3=1,'[1]FC7+5'!T64,"")</f>
        <v>3.9806944980000001</v>
      </c>
      <c r="CG65" s="214" t="str">
        <f>IF('[1]FC7+5'!U$3=1,'[1]FC7+5'!U64,"")</f>
        <v/>
      </c>
      <c r="CH65" s="266">
        <f t="shared" si="83"/>
        <v>10.229718932999997</v>
      </c>
      <c r="CI65" s="348">
        <f t="shared" si="84"/>
        <v>0.15102664700000368</v>
      </c>
      <c r="CJ65" s="349">
        <f t="shared" si="84"/>
        <v>-4.9438318000001757E-2</v>
      </c>
      <c r="CK65" s="343">
        <f t="shared" si="84"/>
        <v>0</v>
      </c>
      <c r="CL65" s="266">
        <f t="shared" si="84"/>
        <v>0.10158832900000192</v>
      </c>
      <c r="CM65" s="266">
        <f>IF('[1]FC7+5'!AC$3=1,'[1]FC7+5'!AC64,"")</f>
        <v>18.178972518999995</v>
      </c>
      <c r="CN65" s="266">
        <f t="shared" si="35"/>
        <v>-7.8476652569999956</v>
      </c>
    </row>
    <row r="66" spans="1:92">
      <c r="A66" s="338" t="s">
        <v>53</v>
      </c>
      <c r="B66" s="338"/>
      <c r="C66" s="338"/>
      <c r="D66" s="242" t="s">
        <v>54</v>
      </c>
      <c r="E66" s="219"/>
      <c r="F66" s="214">
        <f>IF([1]Act!S$3=1,[1]Act!S65,"")</f>
        <v>-1.9876000000000005</v>
      </c>
      <c r="G66" s="214">
        <f>IF([1]Act!T$3=1,[1]Act!T65,"")</f>
        <v>-4.0091302001706541</v>
      </c>
      <c r="H66" s="214" t="str">
        <f>IF([1]Act!U$3=1,[1]Act!U65,"")</f>
        <v/>
      </c>
      <c r="I66" s="213">
        <f t="shared" si="68"/>
        <v>-5.9967302001706546</v>
      </c>
      <c r="K66" s="214">
        <f>IF([1]BP!S$3=1,[1]BP!S65,"")</f>
        <v>0</v>
      </c>
      <c r="L66" s="214">
        <f>IF([1]BP!T$3=1,[1]BP!T65,"")</f>
        <v>0</v>
      </c>
      <c r="M66" s="214" t="str">
        <f>IF([1]BP!U$3=1,[1]BP!U65,"")</f>
        <v/>
      </c>
      <c r="N66" s="271">
        <f t="shared" si="69"/>
        <v>0</v>
      </c>
      <c r="O66" s="343">
        <f t="shared" si="70"/>
        <v>-1.9876000000000005</v>
      </c>
      <c r="P66" s="343">
        <f t="shared" si="70"/>
        <v>-4.0091302001706541</v>
      </c>
      <c r="Q66" s="343">
        <f t="shared" si="70"/>
        <v>0</v>
      </c>
      <c r="R66" s="272">
        <f t="shared" si="71"/>
        <v>-5.9967302001706546</v>
      </c>
      <c r="T66" s="214">
        <f>IF('[1]FC2+10'!S$3=1,'[1]FC2+10'!S65,"")</f>
        <v>0</v>
      </c>
      <c r="U66" s="214">
        <f>IF('[1]FC2+10'!T$3=1,'[1]FC2+10'!T65,"")</f>
        <v>0</v>
      </c>
      <c r="V66" s="214" t="str">
        <f>IF('[1]FC2+10'!U$3=1,'[1]FC2+10'!U65,"")</f>
        <v/>
      </c>
      <c r="W66" s="263">
        <f t="shared" si="72"/>
        <v>0</v>
      </c>
      <c r="X66" s="343">
        <f t="shared" si="73"/>
        <v>-1.9876000000000005</v>
      </c>
      <c r="Y66" s="343">
        <f t="shared" si="73"/>
        <v>-4.0091302001706541</v>
      </c>
      <c r="Z66" s="343">
        <f t="shared" si="73"/>
        <v>0</v>
      </c>
      <c r="AA66" s="264">
        <f t="shared" si="74"/>
        <v>-5.9967302001706546</v>
      </c>
      <c r="AC66" s="214">
        <f>IF([1]OL!S$3=1,[1]OL!S65,"")</f>
        <v>-1.9876000000000005</v>
      </c>
      <c r="AD66" s="214">
        <f>IF([1]OL!T$3=1,[1]OL!T65,"")</f>
        <v>-2.926268043516556</v>
      </c>
      <c r="AE66" s="214" t="str">
        <f>IF([1]OL!U$3=1,[1]OL!U65,"")</f>
        <v/>
      </c>
      <c r="AF66" s="336">
        <f t="shared" si="75"/>
        <v>-4.9138680435165565</v>
      </c>
      <c r="AG66" s="343">
        <f t="shared" si="76"/>
        <v>0</v>
      </c>
      <c r="AH66" s="343">
        <f t="shared" si="76"/>
        <v>-1.0828621566540981</v>
      </c>
      <c r="AI66" s="343">
        <f t="shared" si="76"/>
        <v>0</v>
      </c>
      <c r="AJ66" s="344">
        <f>IFERROR(I66-AF66,0)</f>
        <v>-1.0828621566540981</v>
      </c>
      <c r="AL66" s="214">
        <f>IF([1]LY!S$3=1,[1]LY!S65,"")</f>
        <v>1.6316138274346592</v>
      </c>
      <c r="AM66" s="214">
        <f>IF([1]LY!T$3=1,[1]LY!T65,"")</f>
        <v>1.0512761239713377</v>
      </c>
      <c r="AN66" s="214" t="str">
        <f>IF([1]LY!U$3=1,[1]LY!U65,"")</f>
        <v/>
      </c>
      <c r="AO66" s="345">
        <f t="shared" si="77"/>
        <v>2.682889951405997</v>
      </c>
      <c r="AP66" s="343">
        <f t="shared" si="78"/>
        <v>-3.6192138274346597</v>
      </c>
      <c r="AQ66" s="343">
        <f t="shared" si="78"/>
        <v>-5.0604063241419919</v>
      </c>
      <c r="AR66" s="343">
        <f t="shared" si="58"/>
        <v>0</v>
      </c>
      <c r="AS66" s="346">
        <f t="shared" si="58"/>
        <v>-8.6796201515766516</v>
      </c>
      <c r="AU66" s="214">
        <f>[1]Act!L65</f>
        <v>5.6592178242072579</v>
      </c>
      <c r="AV66" s="347" t="e">
        <f t="shared" si="20"/>
        <v>#VALUE!</v>
      </c>
      <c r="AX66" s="214">
        <f>IF('[1]FC5+7'!S$3=1,'[1]FC5+7'!S65,"")</f>
        <v>7.7822434489757395</v>
      </c>
      <c r="AY66" s="214">
        <f>IF('[1]FC5+7'!T$3=1,'[1]FC5+7'!T65,"")</f>
        <v>6.925872097047483</v>
      </c>
      <c r="AZ66" s="214" t="str">
        <f>IF('[1]FC5+7'!U$3=1,'[1]FC5+7'!U65,"")</f>
        <v/>
      </c>
      <c r="BA66" s="263">
        <f t="shared" si="79"/>
        <v>14.708115546023222</v>
      </c>
      <c r="BB66" s="348">
        <f t="shared" si="80"/>
        <v>-9.76984344897574</v>
      </c>
      <c r="BC66" s="343">
        <f t="shared" si="80"/>
        <v>-10.935002297218137</v>
      </c>
      <c r="BD66" s="343">
        <f t="shared" si="80"/>
        <v>0</v>
      </c>
      <c r="BE66" s="264">
        <f t="shared" si="80"/>
        <v>-20.704845746193875</v>
      </c>
      <c r="BG66" s="214">
        <f t="shared" si="23"/>
        <v>-1.9876000000000005</v>
      </c>
      <c r="BH66" s="214">
        <v>-18.088526048733961</v>
      </c>
      <c r="BI66" s="214">
        <v>-18.835148407721896</v>
      </c>
      <c r="BJ66" s="336">
        <f t="shared" si="81"/>
        <v>-38.911274456455857</v>
      </c>
      <c r="BK66" s="343">
        <f t="shared" si="25"/>
        <v>0</v>
      </c>
      <c r="BL66" s="343">
        <f t="shared" si="25"/>
        <v>-1.0828621566540981</v>
      </c>
      <c r="BM66" s="343">
        <f t="shared" si="26"/>
        <v>0</v>
      </c>
      <c r="BN66" s="344">
        <f t="shared" si="59"/>
        <v>32.914544256285204</v>
      </c>
      <c r="BP66" s="214">
        <f t="shared" si="28"/>
        <v>-1.9876000000000005</v>
      </c>
      <c r="BQ66" s="214">
        <f t="shared" si="28"/>
        <v>-4.0091302001706541</v>
      </c>
      <c r="BR66" s="214" t="e">
        <f>#REF!</f>
        <v>#REF!</v>
      </c>
      <c r="BS66" s="336" t="e">
        <f t="shared" si="82"/>
        <v>#REF!</v>
      </c>
      <c r="BT66" s="343">
        <f t="shared" si="30"/>
        <v>0</v>
      </c>
      <c r="BU66" s="343">
        <f t="shared" si="30"/>
        <v>-1.0828621566540981</v>
      </c>
      <c r="BV66" s="343" t="e">
        <f t="shared" si="30"/>
        <v>#REF!</v>
      </c>
      <c r="BW66" s="344" t="e">
        <f t="shared" si="30"/>
        <v>#REF!</v>
      </c>
      <c r="BY66" s="344" t="e">
        <f t="shared" si="31"/>
        <v>#VALUE!</v>
      </c>
      <c r="CA66" s="263">
        <f>'[1]FC2+10'!AA65</f>
        <v>0</v>
      </c>
      <c r="CC66" s="344">
        <f t="shared" si="32"/>
        <v>5.9967302001706546</v>
      </c>
      <c r="CE66" s="214">
        <f>IF('[1]FC7+5'!S$3=1,'[1]FC7+5'!S65,"")</f>
        <v>-2.8244347497484688</v>
      </c>
      <c r="CF66" s="214">
        <f>IF('[1]FC7+5'!T$3=1,'[1]FC7+5'!T65,"")</f>
        <v>-2.9262680435165569</v>
      </c>
      <c r="CG66" s="214" t="str">
        <f>IF('[1]FC7+5'!U$3=1,'[1]FC7+5'!U65,"")</f>
        <v/>
      </c>
      <c r="CH66" s="266">
        <f t="shared" si="83"/>
        <v>-5.7507027932650256</v>
      </c>
      <c r="CI66" s="348">
        <f t="shared" si="84"/>
        <v>0.83683474974846828</v>
      </c>
      <c r="CJ66" s="343">
        <f t="shared" si="84"/>
        <v>-1.0828621566540972</v>
      </c>
      <c r="CK66" s="343">
        <f t="shared" si="84"/>
        <v>0</v>
      </c>
      <c r="CL66" s="266">
        <f t="shared" si="84"/>
        <v>-0.24602740690562896</v>
      </c>
      <c r="CM66" s="266">
        <f>IF('[1]FC7+5'!AC$3=1,'[1]FC7+5'!AC65,"")</f>
        <v>-9.0359723120341879</v>
      </c>
      <c r="CN66" s="266">
        <f t="shared" si="35"/>
        <v>3.0392421118635333</v>
      </c>
    </row>
    <row r="67" spans="1:92">
      <c r="A67" s="338" t="s">
        <v>53</v>
      </c>
      <c r="B67" s="338"/>
      <c r="C67" s="338"/>
      <c r="D67" s="242" t="s">
        <v>55</v>
      </c>
      <c r="E67" s="219"/>
      <c r="F67" s="214">
        <f>IF([1]Act!S$3=1,[1]Act!S66,"")</f>
        <v>0.48476128947928415</v>
      </c>
      <c r="G67" s="214">
        <f>IF([1]Act!T$3=1,[1]Act!T66,"")</f>
        <v>1.0830501742622869</v>
      </c>
      <c r="H67" s="214" t="str">
        <f>IF([1]Act!U$3=1,[1]Act!U66,"")</f>
        <v/>
      </c>
      <c r="I67" s="213">
        <f t="shared" si="68"/>
        <v>1.567811463741571</v>
      </c>
      <c r="K67" s="214">
        <f>IF([1]BP!S$3=1,[1]BP!S66,"")</f>
        <v>0</v>
      </c>
      <c r="L67" s="214">
        <f>IF([1]BP!T$3=1,[1]BP!T66,"")</f>
        <v>0</v>
      </c>
      <c r="M67" s="214" t="str">
        <f>IF([1]BP!U$3=1,[1]BP!U66,"")</f>
        <v/>
      </c>
      <c r="N67" s="271">
        <f t="shared" si="69"/>
        <v>0</v>
      </c>
      <c r="O67" s="343">
        <f t="shared" si="70"/>
        <v>0.48476128947928415</v>
      </c>
      <c r="P67" s="343">
        <f t="shared" si="70"/>
        <v>1.0830501742622869</v>
      </c>
      <c r="Q67" s="343">
        <f t="shared" si="70"/>
        <v>0</v>
      </c>
      <c r="R67" s="272">
        <f t="shared" si="71"/>
        <v>1.567811463741571</v>
      </c>
      <c r="T67" s="214">
        <f>IF('[1]FC2+10'!S$3=1,'[1]FC2+10'!S66,"")</f>
        <v>0</v>
      </c>
      <c r="U67" s="214">
        <f>IF('[1]FC2+10'!T$3=1,'[1]FC2+10'!T66,"")</f>
        <v>0</v>
      </c>
      <c r="V67" s="214" t="str">
        <f>IF('[1]FC2+10'!U$3=1,'[1]FC2+10'!U66,"")</f>
        <v/>
      </c>
      <c r="W67" s="263">
        <f t="shared" si="72"/>
        <v>0</v>
      </c>
      <c r="X67" s="343">
        <f t="shared" si="73"/>
        <v>0.48476128947928415</v>
      </c>
      <c r="Y67" s="343">
        <f t="shared" si="73"/>
        <v>1.0830501742622869</v>
      </c>
      <c r="Z67" s="343">
        <f t="shared" si="73"/>
        <v>0</v>
      </c>
      <c r="AA67" s="264">
        <f t="shared" si="74"/>
        <v>1.567811463741571</v>
      </c>
      <c r="AC67" s="214">
        <f>IF([1]OL!S$3=1,[1]OL!S66,"")</f>
        <v>0.48476128947928415</v>
      </c>
      <c r="AD67" s="214">
        <f>IF([1]OL!T$3=1,[1]OL!T66,"")</f>
        <v>0</v>
      </c>
      <c r="AE67" s="214" t="str">
        <f>IF([1]OL!U$3=1,[1]OL!U66,"")</f>
        <v/>
      </c>
      <c r="AF67" s="336">
        <f t="shared" si="75"/>
        <v>0.48476128947928415</v>
      </c>
      <c r="AG67" s="343">
        <f t="shared" si="76"/>
        <v>0</v>
      </c>
      <c r="AH67" s="343">
        <f t="shared" si="76"/>
        <v>1.0830501742622869</v>
      </c>
      <c r="AI67" s="343">
        <f t="shared" si="76"/>
        <v>0</v>
      </c>
      <c r="AJ67" s="344">
        <f t="shared" si="76"/>
        <v>1.0830501742622869</v>
      </c>
      <c r="AL67" s="214">
        <f>IF([1]LY!S$3=1,[1]LY!S66,"")</f>
        <v>0.82103448583950589</v>
      </c>
      <c r="AM67" s="214">
        <f>IF([1]LY!T$3=1,[1]LY!T66,"")</f>
        <v>0.62064874497956501</v>
      </c>
      <c r="AN67" s="214" t="str">
        <f>IF([1]LY!U$3=1,[1]LY!U66,"")</f>
        <v/>
      </c>
      <c r="AO67" s="345">
        <f t="shared" si="77"/>
        <v>1.4416832308190708</v>
      </c>
      <c r="AP67" s="343">
        <f t="shared" si="78"/>
        <v>-0.33627319636022174</v>
      </c>
      <c r="AQ67" s="343">
        <f t="shared" si="78"/>
        <v>0.46240142928272188</v>
      </c>
      <c r="AR67" s="343">
        <f t="shared" si="58"/>
        <v>0</v>
      </c>
      <c r="AS67" s="346">
        <f t="shared" si="58"/>
        <v>0.12612823292250019</v>
      </c>
      <c r="AU67" s="214">
        <f>[1]Act!L66</f>
        <v>1.4279864052818758</v>
      </c>
      <c r="AV67" s="347" t="e">
        <f t="shared" si="20"/>
        <v>#VALUE!</v>
      </c>
      <c r="AX67" s="214">
        <f>IF('[1]FC5+7'!S$3=1,'[1]FC5+7'!S66,"")</f>
        <v>0.29731177323482316</v>
      </c>
      <c r="AY67" s="214">
        <f>IF('[1]FC5+7'!T$3=1,'[1]FC5+7'!T66,"")</f>
        <v>0.29970977714864327</v>
      </c>
      <c r="AZ67" s="214" t="str">
        <f>IF('[1]FC5+7'!U$3=1,'[1]FC5+7'!U66,"")</f>
        <v/>
      </c>
      <c r="BA67" s="263">
        <f t="shared" si="79"/>
        <v>0.59702155038346638</v>
      </c>
      <c r="BB67" s="348">
        <f t="shared" si="80"/>
        <v>0.18744951624446099</v>
      </c>
      <c r="BC67" s="343">
        <f t="shared" si="80"/>
        <v>0.78334039711364367</v>
      </c>
      <c r="BD67" s="343">
        <f t="shared" si="80"/>
        <v>0</v>
      </c>
      <c r="BE67" s="264">
        <f t="shared" si="80"/>
        <v>0.97078991335810461</v>
      </c>
      <c r="BG67" s="214">
        <f t="shared" si="23"/>
        <v>0.48476128947928415</v>
      </c>
      <c r="BH67" s="214">
        <v>-0.34</v>
      </c>
      <c r="BI67" s="214">
        <v>-0.63</v>
      </c>
      <c r="BJ67" s="336">
        <f t="shared" si="81"/>
        <v>-0.48523871052071588</v>
      </c>
      <c r="BK67" s="343">
        <f t="shared" si="25"/>
        <v>0</v>
      </c>
      <c r="BL67" s="343">
        <f t="shared" si="25"/>
        <v>1.0830501742622869</v>
      </c>
      <c r="BM67" s="343">
        <f t="shared" si="26"/>
        <v>0</v>
      </c>
      <c r="BN67" s="344">
        <f t="shared" si="59"/>
        <v>2.0530501742622871</v>
      </c>
      <c r="BP67" s="214">
        <f t="shared" si="28"/>
        <v>0.48476128947928415</v>
      </c>
      <c r="BQ67" s="214">
        <f t="shared" si="28"/>
        <v>1.0830501742622869</v>
      </c>
      <c r="BR67" s="214" t="e">
        <f>#REF!</f>
        <v>#REF!</v>
      </c>
      <c r="BS67" s="336" t="e">
        <f t="shared" si="82"/>
        <v>#REF!</v>
      </c>
      <c r="BT67" s="343">
        <f t="shared" si="30"/>
        <v>0</v>
      </c>
      <c r="BU67" s="343">
        <f t="shared" si="30"/>
        <v>1.0830501742622869</v>
      </c>
      <c r="BV67" s="343" t="e">
        <f t="shared" si="30"/>
        <v>#REF!</v>
      </c>
      <c r="BW67" s="344" t="e">
        <f t="shared" si="30"/>
        <v>#REF!</v>
      </c>
      <c r="BY67" s="344" t="e">
        <f t="shared" si="31"/>
        <v>#VALUE!</v>
      </c>
      <c r="CA67" s="263">
        <f>'[1]FC2+10'!AA66</f>
        <v>0</v>
      </c>
      <c r="CC67" s="344">
        <f t="shared" si="32"/>
        <v>-1.567811463741571</v>
      </c>
      <c r="CE67" s="214">
        <f>IF('[1]FC7+5'!S$3=1,'[1]FC7+5'!S66,"")</f>
        <v>0</v>
      </c>
      <c r="CF67" s="214">
        <f>IF('[1]FC7+5'!T$3=1,'[1]FC7+5'!T66,"")</f>
        <v>0</v>
      </c>
      <c r="CG67" s="214" t="str">
        <f>IF('[1]FC7+5'!U$3=1,'[1]FC7+5'!U66,"")</f>
        <v/>
      </c>
      <c r="CH67" s="266">
        <f t="shared" si="83"/>
        <v>0</v>
      </c>
      <c r="CI67" s="348">
        <f t="shared" si="84"/>
        <v>0.48476128947928415</v>
      </c>
      <c r="CJ67" s="343">
        <f t="shared" si="84"/>
        <v>1.0830501742622869</v>
      </c>
      <c r="CK67" s="343">
        <f t="shared" si="84"/>
        <v>0</v>
      </c>
      <c r="CL67" s="266">
        <f t="shared" si="84"/>
        <v>1.567811463741571</v>
      </c>
      <c r="CM67" s="266">
        <f>IF('[1]FC7+5'!AC$3=1,'[1]FC7+5'!AC66,"")</f>
        <v>0</v>
      </c>
      <c r="CN67" s="266">
        <f t="shared" si="35"/>
        <v>1.567811463741571</v>
      </c>
    </row>
    <row r="68" spans="1:92">
      <c r="A68" s="338" t="s">
        <v>53</v>
      </c>
      <c r="B68" s="338"/>
      <c r="C68" s="338"/>
      <c r="D68" s="242" t="s">
        <v>56</v>
      </c>
      <c r="E68" s="219"/>
      <c r="F68" s="214">
        <f>IF([1]Act!S$3=1,[1]Act!S67,"")</f>
        <v>0</v>
      </c>
      <c r="G68" s="214">
        <f>IF([1]Act!T$3=1,[1]Act!T67,"")</f>
        <v>0</v>
      </c>
      <c r="H68" s="214" t="str">
        <f>IF([1]Act!U$3=1,[1]Act!U67,"")</f>
        <v/>
      </c>
      <c r="I68" s="213">
        <f t="shared" si="68"/>
        <v>0</v>
      </c>
      <c r="K68" s="214">
        <f>IF([1]BP!S$3=1,[1]BP!S67,"")</f>
        <v>0</v>
      </c>
      <c r="L68" s="214">
        <f>IF([1]BP!T$3=1,[1]BP!T67,"")</f>
        <v>0</v>
      </c>
      <c r="M68" s="214" t="str">
        <f>IF([1]BP!U$3=1,[1]BP!U67,"")</f>
        <v/>
      </c>
      <c r="N68" s="271">
        <f t="shared" si="69"/>
        <v>0</v>
      </c>
      <c r="O68" s="343">
        <f t="shared" si="70"/>
        <v>0</v>
      </c>
      <c r="P68" s="343">
        <f t="shared" si="70"/>
        <v>0</v>
      </c>
      <c r="Q68" s="343">
        <f t="shared" si="70"/>
        <v>0</v>
      </c>
      <c r="R68" s="272">
        <f t="shared" si="71"/>
        <v>0</v>
      </c>
      <c r="T68" s="214">
        <f>IF('[1]FC2+10'!S$3=1,'[1]FC2+10'!S67,"")</f>
        <v>0</v>
      </c>
      <c r="U68" s="214">
        <f>IF('[1]FC2+10'!T$3=1,'[1]FC2+10'!T67,"")</f>
        <v>0</v>
      </c>
      <c r="V68" s="214" t="str">
        <f>IF('[1]FC2+10'!U$3=1,'[1]FC2+10'!U67,"")</f>
        <v/>
      </c>
      <c r="W68" s="263">
        <f t="shared" si="72"/>
        <v>0</v>
      </c>
      <c r="X68" s="343">
        <f t="shared" si="73"/>
        <v>0</v>
      </c>
      <c r="Y68" s="343">
        <f t="shared" si="73"/>
        <v>0</v>
      </c>
      <c r="Z68" s="343">
        <f t="shared" si="73"/>
        <v>0</v>
      </c>
      <c r="AA68" s="264">
        <f t="shared" si="74"/>
        <v>0</v>
      </c>
      <c r="AC68" s="214">
        <f>IF([1]OL!S$3=1,[1]OL!S67,"")</f>
        <v>0</v>
      </c>
      <c r="AD68" s="214">
        <f>IF([1]OL!T$3=1,[1]OL!T67,"")</f>
        <v>-0.15643374681730879</v>
      </c>
      <c r="AE68" s="214" t="str">
        <f>IF([1]OL!U$3=1,[1]OL!U67,"")</f>
        <v/>
      </c>
      <c r="AF68" s="336">
        <f t="shared" si="75"/>
        <v>-0.15643374681730879</v>
      </c>
      <c r="AG68" s="343">
        <f t="shared" si="76"/>
        <v>0</v>
      </c>
      <c r="AH68" s="343">
        <f t="shared" si="76"/>
        <v>0.15643374681730879</v>
      </c>
      <c r="AI68" s="343">
        <f t="shared" si="76"/>
        <v>0</v>
      </c>
      <c r="AJ68" s="344">
        <f t="shared" si="76"/>
        <v>0.15643374681730879</v>
      </c>
      <c r="AL68" s="214">
        <f>IF([1]LY!S$3=1,[1]LY!S67,"")</f>
        <v>-1.5760963575000002E-2</v>
      </c>
      <c r="AM68" s="214">
        <f>IF([1]LY!T$3=1,[1]LY!T67,"")</f>
        <v>2.2854144836531348E-2</v>
      </c>
      <c r="AN68" s="214" t="str">
        <f>IF([1]LY!U$3=1,[1]LY!U67,"")</f>
        <v/>
      </c>
      <c r="AO68" s="345">
        <f t="shared" si="77"/>
        <v>7.0931812615313457E-3</v>
      </c>
      <c r="AP68" s="343">
        <f t="shared" si="78"/>
        <v>1.5760963575000002E-2</v>
      </c>
      <c r="AQ68" s="343">
        <f t="shared" si="78"/>
        <v>-2.2854144836531348E-2</v>
      </c>
      <c r="AR68" s="343">
        <f t="shared" si="58"/>
        <v>0</v>
      </c>
      <c r="AS68" s="346">
        <f t="shared" si="58"/>
        <v>-7.0931812615313457E-3</v>
      </c>
      <c r="AU68" s="214">
        <f>[1]Act!L67</f>
        <v>0</v>
      </c>
      <c r="AV68" s="347" t="e">
        <f t="shared" si="20"/>
        <v>#VALUE!</v>
      </c>
      <c r="AX68" s="214">
        <f>IF('[1]FC5+7'!S$3=1,'[1]FC5+7'!S67,"")</f>
        <v>-6.6368971265194976E-2</v>
      </c>
      <c r="AY68" s="214">
        <f>IF('[1]FC5+7'!T$3=1,'[1]FC5+7'!T67,"")</f>
        <v>-0.41384201903275664</v>
      </c>
      <c r="AZ68" s="214" t="str">
        <f>IF('[1]FC5+7'!U$3=1,'[1]FC5+7'!U67,"")</f>
        <v/>
      </c>
      <c r="BA68" s="263">
        <f t="shared" si="79"/>
        <v>-0.48021099029795161</v>
      </c>
      <c r="BB68" s="348">
        <f t="shared" si="80"/>
        <v>6.6368971265194976E-2</v>
      </c>
      <c r="BC68" s="343">
        <f t="shared" si="80"/>
        <v>0.41384201903275664</v>
      </c>
      <c r="BD68" s="343">
        <f t="shared" si="80"/>
        <v>0</v>
      </c>
      <c r="BE68" s="264">
        <f t="shared" si="80"/>
        <v>0.48021099029795161</v>
      </c>
      <c r="BG68" s="214">
        <f t="shared" si="23"/>
        <v>0</v>
      </c>
      <c r="BH68" s="214">
        <v>-0.64449135014132075</v>
      </c>
      <c r="BI68" s="214">
        <v>-0.42545938373732567</v>
      </c>
      <c r="BJ68" s="336">
        <f t="shared" si="81"/>
        <v>-1.0699507338786465</v>
      </c>
      <c r="BK68" s="343">
        <f t="shared" si="25"/>
        <v>0</v>
      </c>
      <c r="BL68" s="343">
        <f t="shared" si="25"/>
        <v>0.15643374681730879</v>
      </c>
      <c r="BM68" s="343">
        <f t="shared" si="26"/>
        <v>0</v>
      </c>
      <c r="BN68" s="344">
        <f t="shared" si="59"/>
        <v>1.0699507338786465</v>
      </c>
      <c r="BP68" s="214">
        <f t="shared" si="28"/>
        <v>0</v>
      </c>
      <c r="BQ68" s="214">
        <f t="shared" si="28"/>
        <v>0</v>
      </c>
      <c r="BR68" s="214" t="e">
        <f>#REF!</f>
        <v>#REF!</v>
      </c>
      <c r="BS68" s="336" t="e">
        <f t="shared" si="82"/>
        <v>#REF!</v>
      </c>
      <c r="BT68" s="343">
        <f t="shared" si="30"/>
        <v>0</v>
      </c>
      <c r="BU68" s="343">
        <f t="shared" si="30"/>
        <v>0.15643374681730879</v>
      </c>
      <c r="BV68" s="343" t="e">
        <f t="shared" si="30"/>
        <v>#REF!</v>
      </c>
      <c r="BW68" s="344" t="e">
        <f t="shared" si="30"/>
        <v>#REF!</v>
      </c>
      <c r="BY68" s="344" t="e">
        <f t="shared" si="31"/>
        <v>#VALUE!</v>
      </c>
      <c r="CA68" s="263">
        <f>'[1]FC2+10'!AA67</f>
        <v>0</v>
      </c>
      <c r="CC68" s="344">
        <f t="shared" si="32"/>
        <v>0</v>
      </c>
      <c r="CE68" s="214">
        <f>IF('[1]FC7+5'!S$3=1,'[1]FC7+5'!S67,"")</f>
        <v>0.10179888007643338</v>
      </c>
      <c r="CF68" s="214">
        <f>IF('[1]FC7+5'!T$3=1,'[1]FC7+5'!T67,"")</f>
        <v>-0.15643374681730879</v>
      </c>
      <c r="CG68" s="214" t="str">
        <f>IF('[1]FC7+5'!U$3=1,'[1]FC7+5'!U67,"")</f>
        <v/>
      </c>
      <c r="CH68" s="266">
        <f t="shared" si="83"/>
        <v>-5.4634866740875407E-2</v>
      </c>
      <c r="CI68" s="348">
        <f t="shared" si="84"/>
        <v>-0.10179888007643338</v>
      </c>
      <c r="CJ68" s="343">
        <f t="shared" si="84"/>
        <v>0.15643374681730879</v>
      </c>
      <c r="CK68" s="343">
        <f t="shared" si="84"/>
        <v>0</v>
      </c>
      <c r="CL68" s="266">
        <f t="shared" si="84"/>
        <v>5.4634866740875407E-2</v>
      </c>
      <c r="CM68" s="266">
        <f>IF('[1]FC7+5'!AC$3=1,'[1]FC7+5'!AC67,"")</f>
        <v>-0.2124129983786881</v>
      </c>
      <c r="CN68" s="266">
        <f t="shared" si="35"/>
        <v>0.2124129983786881</v>
      </c>
    </row>
    <row r="69" spans="1:92">
      <c r="A69" s="338" t="s">
        <v>50</v>
      </c>
      <c r="B69" s="338"/>
      <c r="C69" s="338"/>
      <c r="D69" s="242" t="s">
        <v>57</v>
      </c>
      <c r="E69" s="219"/>
      <c r="F69" s="350">
        <f>IF([1]Act!S$3=1,[1]Act!S68,"")</f>
        <v>12.553012989000001</v>
      </c>
      <c r="G69" s="350">
        <f>IF([1]Act!T$3=1,[1]Act!T68,"")</f>
        <v>15.001153421</v>
      </c>
      <c r="H69" s="350" t="str">
        <f>IF([1]Act!U$3=1,[1]Act!U68,"")</f>
        <v/>
      </c>
      <c r="I69" s="213">
        <f t="shared" si="68"/>
        <v>27.554166410000001</v>
      </c>
      <c r="K69" s="214">
        <f>IF([1]BP!S$3=1,[1]BP!S68,"")</f>
        <v>20.519229218</v>
      </c>
      <c r="L69" s="214">
        <f>IF([1]BP!T$3=1,[1]BP!T68,"")</f>
        <v>21.44963383</v>
      </c>
      <c r="M69" s="214" t="str">
        <f>IF([1]BP!U$3=1,[1]BP!U68,"")</f>
        <v/>
      </c>
      <c r="N69" s="271">
        <f t="shared" si="69"/>
        <v>41.968863048000003</v>
      </c>
      <c r="O69" s="343">
        <f t="shared" si="70"/>
        <v>-7.9662162289999987</v>
      </c>
      <c r="P69" s="343">
        <f t="shared" si="70"/>
        <v>-6.4484804090000001</v>
      </c>
      <c r="Q69" s="343">
        <f t="shared" si="70"/>
        <v>0</v>
      </c>
      <c r="R69" s="272">
        <f t="shared" si="71"/>
        <v>-14.414696638000002</v>
      </c>
      <c r="T69" s="214">
        <f>IF('[1]FC2+10'!S$3=1,'[1]FC2+10'!S68,"")</f>
        <v>17.941407117000001</v>
      </c>
      <c r="U69" s="214">
        <f>IF('[1]FC2+10'!T$3=1,'[1]FC2+10'!T68,"")</f>
        <v>18.519904482000001</v>
      </c>
      <c r="V69" s="214" t="str">
        <f>IF('[1]FC2+10'!U$3=1,'[1]FC2+10'!U68,"")</f>
        <v/>
      </c>
      <c r="W69" s="263">
        <f t="shared" si="72"/>
        <v>36.461311598999998</v>
      </c>
      <c r="X69" s="343">
        <f t="shared" si="73"/>
        <v>-5.3883941279999998</v>
      </c>
      <c r="Y69" s="343">
        <f t="shared" si="73"/>
        <v>-3.5187510610000015</v>
      </c>
      <c r="Z69" s="343">
        <f t="shared" si="73"/>
        <v>0</v>
      </c>
      <c r="AA69" s="264">
        <f t="shared" si="74"/>
        <v>-8.9071451889999977</v>
      </c>
      <c r="AC69" s="214">
        <f>IF([1]OL!S$3=1,[1]OL!S68,"")</f>
        <v>12.553012989000001</v>
      </c>
      <c r="AD69" s="214">
        <f>IF([1]OL!T$3=1,[1]OL!T68,"")</f>
        <v>14.512</v>
      </c>
      <c r="AE69" s="214" t="str">
        <f>IF([1]OL!U$3=1,[1]OL!U68,"")</f>
        <v/>
      </c>
      <c r="AF69" s="336">
        <f t="shared" si="75"/>
        <v>27.065012989000003</v>
      </c>
      <c r="AG69" s="343">
        <f t="shared" si="76"/>
        <v>0</v>
      </c>
      <c r="AH69" s="343">
        <f t="shared" si="76"/>
        <v>0.48915342099999926</v>
      </c>
      <c r="AI69" s="343">
        <f t="shared" si="76"/>
        <v>0</v>
      </c>
      <c r="AJ69" s="344">
        <f t="shared" si="76"/>
        <v>0.48915342099999748</v>
      </c>
      <c r="AL69" s="214">
        <f>IF([1]LY!S$3=1,[1]LY!S68,"")</f>
        <v>12.806457585</v>
      </c>
      <c r="AM69" s="214">
        <f>IF([1]LY!T$3=1,[1]LY!T68,"")</f>
        <v>15.282943532999999</v>
      </c>
      <c r="AN69" s="214" t="str">
        <f>IF([1]LY!U$3=1,[1]LY!U68,"")</f>
        <v/>
      </c>
      <c r="AO69" s="345">
        <f t="shared" si="77"/>
        <v>28.089401117999998</v>
      </c>
      <c r="AP69" s="343">
        <f t="shared" si="78"/>
        <v>-0.25344459599999958</v>
      </c>
      <c r="AQ69" s="343">
        <f t="shared" si="78"/>
        <v>-0.28179011199999948</v>
      </c>
      <c r="AR69" s="343">
        <f t="shared" si="58"/>
        <v>0</v>
      </c>
      <c r="AS69" s="346">
        <f t="shared" si="58"/>
        <v>-0.53523470799999728</v>
      </c>
      <c r="AU69" s="214">
        <f>[1]Act!L68</f>
        <v>17.910946447000001</v>
      </c>
      <c r="AV69" s="347" t="e">
        <f t="shared" si="20"/>
        <v>#VALUE!</v>
      </c>
      <c r="AX69" s="214">
        <f>IF('[1]FC5+7'!S$3=1,'[1]FC5+7'!S68,"")</f>
        <v>17.836111566</v>
      </c>
      <c r="AY69" s="214">
        <f>IF('[1]FC5+7'!T$3=1,'[1]FC5+7'!T68,"")</f>
        <v>17.537220382000001</v>
      </c>
      <c r="AZ69" s="214" t="str">
        <f>IF('[1]FC5+7'!U$3=1,'[1]FC5+7'!U68,"")</f>
        <v/>
      </c>
      <c r="BA69" s="263">
        <f t="shared" si="79"/>
        <v>35.373331948000001</v>
      </c>
      <c r="BB69" s="348">
        <f t="shared" si="80"/>
        <v>-5.2830985769999987</v>
      </c>
      <c r="BC69" s="343">
        <f t="shared" si="80"/>
        <v>-2.5360669610000013</v>
      </c>
      <c r="BD69" s="343">
        <f t="shared" si="80"/>
        <v>0</v>
      </c>
      <c r="BE69" s="264">
        <f t="shared" si="80"/>
        <v>-7.819165538</v>
      </c>
      <c r="BG69" s="214">
        <f t="shared" si="23"/>
        <v>12.553012989000001</v>
      </c>
      <c r="BH69" s="214">
        <v>13.502000000000001</v>
      </c>
      <c r="BI69" s="214">
        <v>14.537000000000001</v>
      </c>
      <c r="BJ69" s="336">
        <f t="shared" si="81"/>
        <v>40.592012989000004</v>
      </c>
      <c r="BK69" s="343">
        <f t="shared" si="25"/>
        <v>0</v>
      </c>
      <c r="BL69" s="343">
        <f t="shared" si="25"/>
        <v>0.48915342099999926</v>
      </c>
      <c r="BM69" s="343">
        <f t="shared" si="26"/>
        <v>0</v>
      </c>
      <c r="BN69" s="344">
        <f t="shared" si="59"/>
        <v>-13.037846579000004</v>
      </c>
      <c r="BP69" s="214">
        <f t="shared" si="28"/>
        <v>12.553012989000001</v>
      </c>
      <c r="BQ69" s="214">
        <f t="shared" si="28"/>
        <v>15.001153421</v>
      </c>
      <c r="BR69" s="214" t="e">
        <f>#REF!</f>
        <v>#REF!</v>
      </c>
      <c r="BS69" s="336" t="e">
        <f t="shared" si="82"/>
        <v>#REF!</v>
      </c>
      <c r="BT69" s="343">
        <f t="shared" si="30"/>
        <v>0</v>
      </c>
      <c r="BU69" s="343">
        <f t="shared" si="30"/>
        <v>0.48915342099999926</v>
      </c>
      <c r="BV69" s="343" t="e">
        <f t="shared" si="30"/>
        <v>#REF!</v>
      </c>
      <c r="BW69" s="344" t="e">
        <f t="shared" si="30"/>
        <v>#REF!</v>
      </c>
      <c r="BY69" s="344" t="e">
        <f t="shared" si="31"/>
        <v>#VALUE!</v>
      </c>
      <c r="CA69" s="263">
        <f>'[1]FC2+10'!AA68</f>
        <v>37.564025657000002</v>
      </c>
      <c r="CC69" s="344">
        <f t="shared" si="32"/>
        <v>10.009859247000001</v>
      </c>
      <c r="CE69" s="214">
        <f>IF('[1]FC7+5'!S$3=1,'[1]FC7+5'!S68,"")</f>
        <v>13.635269458</v>
      </c>
      <c r="CF69" s="214">
        <f>IF('[1]FC7+5'!T$3=1,'[1]FC7+5'!T68,"")</f>
        <v>14.511940224</v>
      </c>
      <c r="CG69" s="214" t="str">
        <f>IF('[1]FC7+5'!U$3=1,'[1]FC7+5'!U68,"")</f>
        <v/>
      </c>
      <c r="CH69" s="266">
        <f t="shared" si="83"/>
        <v>28.147209682</v>
      </c>
      <c r="CI69" s="348">
        <f t="shared" si="84"/>
        <v>-1.0822564689999989</v>
      </c>
      <c r="CJ69" s="343">
        <f t="shared" si="84"/>
        <v>0.48921319699999977</v>
      </c>
      <c r="CK69" s="343">
        <f t="shared" si="84"/>
        <v>0</v>
      </c>
      <c r="CL69" s="266">
        <f t="shared" si="84"/>
        <v>-0.59304327199999918</v>
      </c>
      <c r="CM69" s="266">
        <f>IF('[1]FC7+5'!AC$3=1,'[1]FC7+5'!AC68,"")</f>
        <v>45.667584814000001</v>
      </c>
      <c r="CN69" s="266">
        <f t="shared" si="35"/>
        <v>-18.113418404000001</v>
      </c>
    </row>
    <row r="70" spans="1:92">
      <c r="A70" s="338" t="s">
        <v>58</v>
      </c>
      <c r="B70" s="338"/>
      <c r="C70" s="338"/>
      <c r="D70" s="242" t="s">
        <v>59</v>
      </c>
      <c r="E70" s="219"/>
      <c r="F70" s="350">
        <f>IF([1]Act!S$3=1,[1]Act!S69,"")</f>
        <v>0</v>
      </c>
      <c r="G70" s="350">
        <f>IF([1]Act!T$3=1,[1]Act!T69,"")</f>
        <v>0</v>
      </c>
      <c r="H70" s="350" t="str">
        <f>IF([1]Act!U$3=1,[1]Act!U69,"")</f>
        <v/>
      </c>
      <c r="I70" s="213">
        <f t="shared" si="68"/>
        <v>0</v>
      </c>
      <c r="K70" s="214">
        <f>IF([1]BP!S$3=1,[1]BP!S69,"")</f>
        <v>0</v>
      </c>
      <c r="L70" s="214">
        <f>IF([1]BP!T$3=1,[1]BP!T69,"")</f>
        <v>0</v>
      </c>
      <c r="M70" s="214" t="str">
        <f>IF([1]BP!U$3=1,[1]BP!U69,"")</f>
        <v/>
      </c>
      <c r="N70" s="271">
        <f t="shared" si="69"/>
        <v>0</v>
      </c>
      <c r="O70" s="343">
        <f t="shared" si="70"/>
        <v>0</v>
      </c>
      <c r="P70" s="343">
        <f t="shared" si="70"/>
        <v>0</v>
      </c>
      <c r="Q70" s="343">
        <f t="shared" si="70"/>
        <v>0</v>
      </c>
      <c r="R70" s="272">
        <f t="shared" si="71"/>
        <v>0</v>
      </c>
      <c r="T70" s="214">
        <f>IF('[1]FC2+10'!S$3=1,'[1]FC2+10'!S69,"")</f>
        <v>0</v>
      </c>
      <c r="U70" s="214">
        <f>IF('[1]FC2+10'!T$3=1,'[1]FC2+10'!T69,"")</f>
        <v>0</v>
      </c>
      <c r="V70" s="214" t="str">
        <f>IF('[1]FC2+10'!U$3=1,'[1]FC2+10'!U69,"")</f>
        <v/>
      </c>
      <c r="W70" s="263">
        <f t="shared" si="72"/>
        <v>0</v>
      </c>
      <c r="X70" s="343">
        <f t="shared" si="73"/>
        <v>0</v>
      </c>
      <c r="Y70" s="343">
        <f t="shared" si="73"/>
        <v>0</v>
      </c>
      <c r="Z70" s="343">
        <f t="shared" si="73"/>
        <v>0</v>
      </c>
      <c r="AA70" s="264">
        <f t="shared" si="74"/>
        <v>0</v>
      </c>
      <c r="AC70" s="214">
        <f>IF([1]OL!S$3=1,[1]OL!S69,"")</f>
        <v>0</v>
      </c>
      <c r="AD70" s="214">
        <f>IF([1]OL!T$3=1,[1]OL!T69,"")</f>
        <v>0</v>
      </c>
      <c r="AE70" s="214" t="str">
        <f>IF([1]OL!U$3=1,[1]OL!U69,"")</f>
        <v/>
      </c>
      <c r="AF70" s="336">
        <f t="shared" si="75"/>
        <v>0</v>
      </c>
      <c r="AG70" s="343">
        <f t="shared" si="76"/>
        <v>0</v>
      </c>
      <c r="AH70" s="343">
        <f t="shared" si="76"/>
        <v>0</v>
      </c>
      <c r="AI70" s="343">
        <f t="shared" si="76"/>
        <v>0</v>
      </c>
      <c r="AJ70" s="344">
        <f t="shared" si="76"/>
        <v>0</v>
      </c>
      <c r="AL70" s="214">
        <f>IF([1]LY!S$3=1,[1]LY!S69,"")</f>
        <v>0</v>
      </c>
      <c r="AM70" s="214">
        <f>IF([1]LY!T$3=1,[1]LY!T69,"")</f>
        <v>0</v>
      </c>
      <c r="AN70" s="214" t="str">
        <f>IF([1]LY!U$3=1,[1]LY!U69,"")</f>
        <v/>
      </c>
      <c r="AO70" s="345">
        <f t="shared" si="77"/>
        <v>0</v>
      </c>
      <c r="AP70" s="343">
        <f t="shared" si="78"/>
        <v>0</v>
      </c>
      <c r="AQ70" s="343">
        <f t="shared" si="78"/>
        <v>0</v>
      </c>
      <c r="AR70" s="343">
        <f t="shared" si="58"/>
        <v>0</v>
      </c>
      <c r="AS70" s="346">
        <f t="shared" si="58"/>
        <v>0</v>
      </c>
      <c r="AU70" s="214">
        <f>[1]Act!L69</f>
        <v>0</v>
      </c>
      <c r="AV70" s="347" t="e">
        <f t="shared" si="20"/>
        <v>#VALUE!</v>
      </c>
      <c r="AX70" s="214">
        <f>IF('[1]FC5+7'!S$3=1,'[1]FC5+7'!S69,"")</f>
        <v>0</v>
      </c>
      <c r="AY70" s="214">
        <f>IF('[1]FC5+7'!T$3=1,'[1]FC5+7'!T69,"")</f>
        <v>0</v>
      </c>
      <c r="AZ70" s="214" t="str">
        <f>IF('[1]FC5+7'!U$3=1,'[1]FC5+7'!U69,"")</f>
        <v/>
      </c>
      <c r="BA70" s="263">
        <f t="shared" si="79"/>
        <v>0</v>
      </c>
      <c r="BB70" s="348">
        <f t="shared" si="80"/>
        <v>0</v>
      </c>
      <c r="BC70" s="343">
        <f t="shared" si="80"/>
        <v>0</v>
      </c>
      <c r="BD70" s="343">
        <f t="shared" si="80"/>
        <v>0</v>
      </c>
      <c r="BE70" s="264">
        <f t="shared" si="80"/>
        <v>0</v>
      </c>
      <c r="BG70" s="214">
        <f t="shared" si="23"/>
        <v>0</v>
      </c>
      <c r="BH70" s="214">
        <v>0</v>
      </c>
      <c r="BI70" s="214">
        <v>0</v>
      </c>
      <c r="BJ70" s="336">
        <f t="shared" si="81"/>
        <v>0</v>
      </c>
      <c r="BK70" s="343">
        <f t="shared" si="25"/>
        <v>0</v>
      </c>
      <c r="BL70" s="343">
        <f t="shared" si="25"/>
        <v>0</v>
      </c>
      <c r="BM70" s="343">
        <f t="shared" si="26"/>
        <v>0</v>
      </c>
      <c r="BN70" s="344">
        <f t="shared" si="59"/>
        <v>0</v>
      </c>
      <c r="BP70" s="214">
        <f t="shared" si="28"/>
        <v>0</v>
      </c>
      <c r="BQ70" s="214">
        <f t="shared" si="28"/>
        <v>0</v>
      </c>
      <c r="BR70" s="214" t="e">
        <f>#REF!</f>
        <v>#REF!</v>
      </c>
      <c r="BS70" s="336" t="e">
        <f t="shared" si="82"/>
        <v>#REF!</v>
      </c>
      <c r="BT70" s="343">
        <f t="shared" si="30"/>
        <v>0</v>
      </c>
      <c r="BU70" s="343">
        <f t="shared" si="30"/>
        <v>0</v>
      </c>
      <c r="BV70" s="343" t="e">
        <f t="shared" si="30"/>
        <v>#REF!</v>
      </c>
      <c r="BW70" s="344" t="e">
        <f t="shared" si="30"/>
        <v>#REF!</v>
      </c>
      <c r="BY70" s="344" t="e">
        <f t="shared" si="31"/>
        <v>#VALUE!</v>
      </c>
      <c r="CA70" s="263">
        <f>'[1]FC2+10'!AA69</f>
        <v>0</v>
      </c>
      <c r="CC70" s="344">
        <f t="shared" si="32"/>
        <v>0</v>
      </c>
      <c r="CE70" s="214">
        <f>IF('[1]FC7+5'!S$3=1,'[1]FC7+5'!S69,"")</f>
        <v>0</v>
      </c>
      <c r="CF70" s="214">
        <f>IF('[1]FC7+5'!T$3=1,'[1]FC7+5'!T69,"")</f>
        <v>0</v>
      </c>
      <c r="CG70" s="214" t="str">
        <f>IF('[1]FC7+5'!U$3=1,'[1]FC7+5'!U69,"")</f>
        <v/>
      </c>
      <c r="CH70" s="266">
        <f t="shared" si="83"/>
        <v>0</v>
      </c>
      <c r="CI70" s="348">
        <f t="shared" si="84"/>
        <v>0</v>
      </c>
      <c r="CJ70" s="343">
        <f t="shared" si="84"/>
        <v>0</v>
      </c>
      <c r="CK70" s="343">
        <f t="shared" si="84"/>
        <v>0</v>
      </c>
      <c r="CL70" s="266">
        <f t="shared" si="84"/>
        <v>0</v>
      </c>
      <c r="CM70" s="266">
        <f>IF('[1]FC7+5'!AC$3=1,'[1]FC7+5'!AC69,"")</f>
        <v>0</v>
      </c>
      <c r="CN70" s="266">
        <f t="shared" si="35"/>
        <v>0</v>
      </c>
    </row>
    <row r="71" spans="1:92">
      <c r="A71" s="338" t="s">
        <v>60</v>
      </c>
      <c r="B71" s="338"/>
      <c r="C71" s="338"/>
      <c r="D71" s="242" t="s">
        <v>61</v>
      </c>
      <c r="E71" s="219"/>
      <c r="F71" s="350">
        <f>IF([1]Act!S$3=1,[1]Act!S70,"")</f>
        <v>3.2673819799999961</v>
      </c>
      <c r="G71" s="350">
        <f>IF([1]Act!T$3=1,[1]Act!T70,"")</f>
        <v>3.5540942700000002</v>
      </c>
      <c r="H71" s="350" t="str">
        <f>IF([1]Act!U$3=1,[1]Act!U70,"")</f>
        <v/>
      </c>
      <c r="I71" s="213">
        <f t="shared" si="68"/>
        <v>6.8214762499999964</v>
      </c>
      <c r="K71" s="214">
        <f>IF([1]BP!S$3=1,[1]BP!S70,"")</f>
        <v>5.2297943999999985</v>
      </c>
      <c r="L71" s="214">
        <f>IF([1]BP!T$3=1,[1]BP!T70,"")</f>
        <v>5.0681452</v>
      </c>
      <c r="M71" s="214" t="str">
        <f>IF([1]BP!U$3=1,[1]BP!U70,"")</f>
        <v/>
      </c>
      <c r="N71" s="271">
        <f t="shared" si="69"/>
        <v>10.297939599999999</v>
      </c>
      <c r="O71" s="343">
        <f t="shared" si="70"/>
        <v>-1.9624124200000024</v>
      </c>
      <c r="P71" s="343">
        <f t="shared" si="70"/>
        <v>-1.5140509299999998</v>
      </c>
      <c r="Q71" s="343">
        <f t="shared" si="70"/>
        <v>0</v>
      </c>
      <c r="R71" s="272">
        <f t="shared" si="71"/>
        <v>-3.4764633500000031</v>
      </c>
      <c r="T71" s="214">
        <f>IF('[1]FC2+10'!S$3=1,'[1]FC2+10'!S70,"")</f>
        <v>4.4592616499999993</v>
      </c>
      <c r="U71" s="214">
        <f>IF('[1]FC2+10'!T$3=1,'[1]FC2+10'!T70,"")</f>
        <v>5.2592405499999995</v>
      </c>
      <c r="V71" s="214" t="str">
        <f>IF('[1]FC2+10'!U$3=1,'[1]FC2+10'!U70,"")</f>
        <v/>
      </c>
      <c r="W71" s="263">
        <f t="shared" si="72"/>
        <v>9.7185021999999996</v>
      </c>
      <c r="X71" s="343">
        <f t="shared" si="73"/>
        <v>-1.1918796700000032</v>
      </c>
      <c r="Y71" s="343">
        <f t="shared" si="73"/>
        <v>-1.7051462799999992</v>
      </c>
      <c r="Z71" s="343">
        <f t="shared" si="73"/>
        <v>0</v>
      </c>
      <c r="AA71" s="264">
        <f t="shared" si="74"/>
        <v>-2.8970259500000033</v>
      </c>
      <c r="AC71" s="214">
        <f>IF([1]OL!S$3=1,[1]OL!S70,"")</f>
        <v>3.2673819799999961</v>
      </c>
      <c r="AD71" s="214">
        <f>IF([1]OL!T$3=1,[1]OL!T70,"")</f>
        <v>4.3610229180000006</v>
      </c>
      <c r="AE71" s="214" t="str">
        <f>IF([1]OL!U$3=1,[1]OL!U70,"")</f>
        <v/>
      </c>
      <c r="AF71" s="336">
        <f t="shared" si="75"/>
        <v>7.6284048979999968</v>
      </c>
      <c r="AG71" s="343">
        <f t="shared" si="76"/>
        <v>0</v>
      </c>
      <c r="AH71" s="343">
        <f t="shared" si="76"/>
        <v>-0.80692864800000041</v>
      </c>
      <c r="AI71" s="343">
        <f t="shared" si="76"/>
        <v>0</v>
      </c>
      <c r="AJ71" s="344">
        <f t="shared" si="76"/>
        <v>-0.80692864800000041</v>
      </c>
      <c r="AL71" s="214">
        <f>IF([1]LY!S$3=1,[1]LY!S70,"")</f>
        <v>3.5285989000000022</v>
      </c>
      <c r="AM71" s="214">
        <f>IF([1]LY!T$3=1,[1]LY!T70,"")</f>
        <v>3.6887386000000006</v>
      </c>
      <c r="AN71" s="214" t="str">
        <f>IF([1]LY!U$3=1,[1]LY!U70,"")</f>
        <v/>
      </c>
      <c r="AO71" s="345">
        <f t="shared" si="77"/>
        <v>7.2173375000000028</v>
      </c>
      <c r="AP71" s="343">
        <f t="shared" si="78"/>
        <v>-0.26121692000000607</v>
      </c>
      <c r="AQ71" s="343">
        <f t="shared" si="78"/>
        <v>-0.13464433000000042</v>
      </c>
      <c r="AR71" s="343">
        <f t="shared" si="58"/>
        <v>0</v>
      </c>
      <c r="AS71" s="346">
        <f t="shared" si="58"/>
        <v>-0.39586125000000649</v>
      </c>
      <c r="AU71" s="214">
        <f>[1]Act!L70</f>
        <v>3.5320670200000031</v>
      </c>
      <c r="AV71" s="347" t="e">
        <f t="shared" si="20"/>
        <v>#VALUE!</v>
      </c>
      <c r="AX71" s="214">
        <f>IF('[1]FC5+7'!S$3=1,'[1]FC5+7'!S70,"")</f>
        <v>3.797707994</v>
      </c>
      <c r="AY71" s="214">
        <f>IF('[1]FC5+7'!T$3=1,'[1]FC5+7'!T70,"")</f>
        <v>4.6423025139999989</v>
      </c>
      <c r="AZ71" s="214" t="str">
        <f>IF('[1]FC5+7'!U$3=1,'[1]FC5+7'!U70,"")</f>
        <v/>
      </c>
      <c r="BA71" s="263">
        <f t="shared" si="79"/>
        <v>8.4400105079999985</v>
      </c>
      <c r="BB71" s="348">
        <f t="shared" si="80"/>
        <v>-0.5303260140000039</v>
      </c>
      <c r="BC71" s="343">
        <f t="shared" si="80"/>
        <v>-1.0882082439999987</v>
      </c>
      <c r="BD71" s="343">
        <f t="shared" si="80"/>
        <v>0</v>
      </c>
      <c r="BE71" s="264">
        <f t="shared" si="80"/>
        <v>-1.6185342580000022</v>
      </c>
      <c r="BG71" s="214">
        <f t="shared" si="23"/>
        <v>3.2673819799999961</v>
      </c>
      <c r="BH71" s="214">
        <v>2.4110575000000001</v>
      </c>
      <c r="BI71" s="214">
        <v>4.2274964999999991</v>
      </c>
      <c r="BJ71" s="336">
        <f t="shared" si="81"/>
        <v>9.9059359799999953</v>
      </c>
      <c r="BK71" s="343">
        <f t="shared" si="25"/>
        <v>0</v>
      </c>
      <c r="BL71" s="343">
        <f t="shared" si="25"/>
        <v>-0.80692864800000041</v>
      </c>
      <c r="BM71" s="343">
        <f t="shared" si="26"/>
        <v>0</v>
      </c>
      <c r="BN71" s="344">
        <f t="shared" si="59"/>
        <v>-3.084459729999999</v>
      </c>
      <c r="BP71" s="214">
        <f t="shared" si="28"/>
        <v>3.2673819799999961</v>
      </c>
      <c r="BQ71" s="214">
        <f t="shared" si="28"/>
        <v>3.5540942700000002</v>
      </c>
      <c r="BR71" s="214" t="e">
        <f>#REF!</f>
        <v>#REF!</v>
      </c>
      <c r="BS71" s="336" t="e">
        <f t="shared" si="82"/>
        <v>#REF!</v>
      </c>
      <c r="BT71" s="343">
        <f t="shared" si="30"/>
        <v>0</v>
      </c>
      <c r="BU71" s="343">
        <f t="shared" si="30"/>
        <v>-0.80692864800000041</v>
      </c>
      <c r="BV71" s="343" t="e">
        <f t="shared" si="30"/>
        <v>#REF!</v>
      </c>
      <c r="BW71" s="344" t="e">
        <f t="shared" si="30"/>
        <v>#REF!</v>
      </c>
      <c r="BY71" s="344" t="e">
        <f t="shared" si="31"/>
        <v>#VALUE!</v>
      </c>
      <c r="CA71" s="263">
        <f>'[1]FC2+10'!AA70</f>
        <v>9.3317245</v>
      </c>
      <c r="CC71" s="344">
        <f t="shared" si="32"/>
        <v>2.5102482500000036</v>
      </c>
      <c r="CE71" s="214">
        <f>IF('[1]FC7+5'!S$3=1,'[1]FC7+5'!S70,"")</f>
        <v>3.6370646039999999</v>
      </c>
      <c r="CF71" s="214">
        <f>IF('[1]FC7+5'!T$3=1,'[1]FC7+5'!T70,"")</f>
        <v>4.193932674</v>
      </c>
      <c r="CG71" s="214" t="str">
        <f>IF('[1]FC7+5'!U$3=1,'[1]FC7+5'!U70,"")</f>
        <v/>
      </c>
      <c r="CH71" s="266">
        <f t="shared" si="83"/>
        <v>7.8309972779999999</v>
      </c>
      <c r="CI71" s="348">
        <f t="shared" si="84"/>
        <v>-0.36968262400000373</v>
      </c>
      <c r="CJ71" s="343">
        <f t="shared" si="84"/>
        <v>-0.63983840399999981</v>
      </c>
      <c r="CK71" s="343">
        <f t="shared" si="84"/>
        <v>0</v>
      </c>
      <c r="CL71" s="266">
        <f t="shared" si="84"/>
        <v>-1.0095210280000035</v>
      </c>
      <c r="CM71" s="266">
        <f>IF('[1]FC7+5'!AC$3=1,'[1]FC7+5'!AC70,"")</f>
        <v>14.256555215999999</v>
      </c>
      <c r="CN71" s="266">
        <f t="shared" si="35"/>
        <v>-7.4350789660000025</v>
      </c>
    </row>
    <row r="72" spans="1:92">
      <c r="A72" s="338" t="s">
        <v>46</v>
      </c>
      <c r="B72" s="338"/>
      <c r="C72" s="338"/>
      <c r="D72" s="242" t="s">
        <v>46</v>
      </c>
      <c r="E72" s="219"/>
      <c r="F72" s="350">
        <f>IF([1]Act!S$3=1,[1]Act!S71,"")</f>
        <v>0.88185000000000002</v>
      </c>
      <c r="G72" s="350">
        <f>IF([1]Act!T$3=1,[1]Act!T71,"")</f>
        <v>-0.67235550000000011</v>
      </c>
      <c r="H72" s="350" t="str">
        <f>IF([1]Act!U$3=1,[1]Act!U71,"")</f>
        <v/>
      </c>
      <c r="I72" s="213">
        <f t="shared" si="68"/>
        <v>0.20949449999999992</v>
      </c>
      <c r="K72" s="214">
        <f>IF([1]BP!S$3=1,[1]BP!S71,"")</f>
        <v>0</v>
      </c>
      <c r="L72" s="214">
        <f>IF([1]BP!T$3=1,[1]BP!T71,"")</f>
        <v>0</v>
      </c>
      <c r="M72" s="214" t="str">
        <f>IF([1]BP!U$3=1,[1]BP!U71,"")</f>
        <v/>
      </c>
      <c r="N72" s="271">
        <f t="shared" si="69"/>
        <v>0</v>
      </c>
      <c r="O72" s="343">
        <f t="shared" si="70"/>
        <v>0.88185000000000002</v>
      </c>
      <c r="P72" s="343">
        <f t="shared" si="70"/>
        <v>-0.67235550000000011</v>
      </c>
      <c r="Q72" s="343">
        <f t="shared" si="70"/>
        <v>0</v>
      </c>
      <c r="R72" s="272">
        <f t="shared" si="71"/>
        <v>0.20949449999999992</v>
      </c>
      <c r="T72" s="214">
        <f>IF('[1]FC2+10'!S$3=1,'[1]FC2+10'!S71,"")</f>
        <v>0</v>
      </c>
      <c r="U72" s="214">
        <f>IF('[1]FC2+10'!T$3=1,'[1]FC2+10'!T71,"")</f>
        <v>0</v>
      </c>
      <c r="V72" s="214" t="str">
        <f>IF('[1]FC2+10'!U$3=1,'[1]FC2+10'!U71,"")</f>
        <v/>
      </c>
      <c r="W72" s="263">
        <f t="shared" si="72"/>
        <v>0</v>
      </c>
      <c r="X72" s="343">
        <f t="shared" si="73"/>
        <v>0.88185000000000002</v>
      </c>
      <c r="Y72" s="343">
        <f t="shared" si="73"/>
        <v>-0.67235550000000011</v>
      </c>
      <c r="Z72" s="343">
        <f t="shared" si="73"/>
        <v>0</v>
      </c>
      <c r="AA72" s="264">
        <f t="shared" si="74"/>
        <v>0.20949449999999992</v>
      </c>
      <c r="AC72" s="214">
        <f>IF([1]OL!S$3=1,[1]OL!S71,"")</f>
        <v>0.88185000000000002</v>
      </c>
      <c r="AD72" s="214">
        <f>IF([1]OL!T$3=1,[1]OL!T71,"")</f>
        <v>0</v>
      </c>
      <c r="AE72" s="214" t="str">
        <f>IF([1]OL!U$3=1,[1]OL!U71,"")</f>
        <v/>
      </c>
      <c r="AF72" s="336">
        <f t="shared" si="75"/>
        <v>0.88185000000000002</v>
      </c>
      <c r="AG72" s="343">
        <f t="shared" si="76"/>
        <v>0</v>
      </c>
      <c r="AH72" s="343">
        <f t="shared" si="76"/>
        <v>-0.67235550000000011</v>
      </c>
      <c r="AI72" s="343">
        <f t="shared" si="76"/>
        <v>0</v>
      </c>
      <c r="AJ72" s="344">
        <f t="shared" si="76"/>
        <v>-0.67235550000000011</v>
      </c>
      <c r="AL72" s="214">
        <f>IF([1]LY!S$3=1,[1]LY!S71,"")</f>
        <v>0.59259000000000006</v>
      </c>
      <c r="AM72" s="214">
        <f>IF([1]LY!T$3=1,[1]LY!T71,"")</f>
        <v>1.5589891999999996</v>
      </c>
      <c r="AN72" s="214" t="str">
        <f>IF([1]LY!U$3=1,[1]LY!U71,"")</f>
        <v/>
      </c>
      <c r="AO72" s="345">
        <f t="shared" si="77"/>
        <v>2.1515791999999996</v>
      </c>
      <c r="AP72" s="343">
        <f t="shared" si="78"/>
        <v>0.28925999999999996</v>
      </c>
      <c r="AQ72" s="343">
        <f t="shared" si="78"/>
        <v>-2.2313446999999997</v>
      </c>
      <c r="AR72" s="343">
        <f t="shared" si="58"/>
        <v>0</v>
      </c>
      <c r="AS72" s="346">
        <f t="shared" si="58"/>
        <v>-1.9420846999999997</v>
      </c>
      <c r="AU72" s="214">
        <f>[1]Act!L71</f>
        <v>0.61047119999999977</v>
      </c>
      <c r="AV72" s="347" t="e">
        <f t="shared" ref="AV72:AV79" si="85">H72-AU72</f>
        <v>#VALUE!</v>
      </c>
      <c r="AX72" s="214">
        <f>IF('[1]FC5+7'!S$3=1,'[1]FC5+7'!S71,"")</f>
        <v>0</v>
      </c>
      <c r="AY72" s="214">
        <f>IF('[1]FC5+7'!T$3=1,'[1]FC5+7'!T71,"")</f>
        <v>0</v>
      </c>
      <c r="AZ72" s="214" t="str">
        <f>IF('[1]FC5+7'!U$3=1,'[1]FC5+7'!U71,"")</f>
        <v/>
      </c>
      <c r="BA72" s="263">
        <f t="shared" si="79"/>
        <v>0</v>
      </c>
      <c r="BB72" s="348">
        <f t="shared" si="80"/>
        <v>0.88185000000000002</v>
      </c>
      <c r="BC72" s="343">
        <f t="shared" si="80"/>
        <v>-0.67235550000000011</v>
      </c>
      <c r="BD72" s="343">
        <f t="shared" si="80"/>
        <v>0</v>
      </c>
      <c r="BE72" s="264">
        <f t="shared" si="80"/>
        <v>0.20949449999999992</v>
      </c>
      <c r="BG72" s="214">
        <f t="shared" ref="BG72:BG78" si="86">F72</f>
        <v>0.88185000000000002</v>
      </c>
      <c r="BH72" s="214">
        <v>0</v>
      </c>
      <c r="BI72" s="214">
        <v>0</v>
      </c>
      <c r="BJ72" s="336">
        <f t="shared" si="81"/>
        <v>0.88185000000000002</v>
      </c>
      <c r="BK72" s="343">
        <f t="shared" ref="BK72:BL78" si="87">IFERROR(F72-AC72,0)</f>
        <v>0</v>
      </c>
      <c r="BL72" s="343">
        <f t="shared" si="87"/>
        <v>-0.67235550000000011</v>
      </c>
      <c r="BM72" s="343">
        <f t="shared" ref="BM72:BM78" si="88">IFERROR(AL72-AE72,0)</f>
        <v>0</v>
      </c>
      <c r="BN72" s="344">
        <f t="shared" si="59"/>
        <v>-0.67235550000000011</v>
      </c>
      <c r="BP72" s="214">
        <f t="shared" ref="BP72:BQ74" si="89">F72</f>
        <v>0.88185000000000002</v>
      </c>
      <c r="BQ72" s="214">
        <f t="shared" si="89"/>
        <v>-0.67235550000000011</v>
      </c>
      <c r="BR72" s="214" t="e">
        <f>#REF!</f>
        <v>#REF!</v>
      </c>
      <c r="BS72" s="336" t="e">
        <f t="shared" si="82"/>
        <v>#REF!</v>
      </c>
      <c r="BT72" s="343">
        <f t="shared" ref="BT72:BW78" si="90">BP72-AC72</f>
        <v>0</v>
      </c>
      <c r="BU72" s="343">
        <f t="shared" si="90"/>
        <v>-0.67235550000000011</v>
      </c>
      <c r="BV72" s="343" t="e">
        <f t="shared" si="90"/>
        <v>#REF!</v>
      </c>
      <c r="BW72" s="344" t="e">
        <f t="shared" si="90"/>
        <v>#REF!</v>
      </c>
      <c r="BY72" s="344" t="e">
        <f t="shared" ref="BY72:BY78" si="91">H72-BR72</f>
        <v>#VALUE!</v>
      </c>
      <c r="CA72" s="263">
        <f>'[1]FC2+10'!AA71</f>
        <v>0</v>
      </c>
      <c r="CC72" s="344">
        <f t="shared" ref="CC72:CC79" si="92">CA72-I72</f>
        <v>-0.20949449999999992</v>
      </c>
      <c r="CE72" s="214">
        <f>IF('[1]FC7+5'!S$3=1,'[1]FC7+5'!S71,"")</f>
        <v>0</v>
      </c>
      <c r="CF72" s="214">
        <f>IF('[1]FC7+5'!T$3=1,'[1]FC7+5'!T71,"")</f>
        <v>0</v>
      </c>
      <c r="CG72" s="214" t="str">
        <f>IF('[1]FC7+5'!U$3=1,'[1]FC7+5'!U71,"")</f>
        <v/>
      </c>
      <c r="CH72" s="266">
        <f t="shared" si="83"/>
        <v>0</v>
      </c>
      <c r="CI72" s="348">
        <f t="shared" si="84"/>
        <v>0.88185000000000002</v>
      </c>
      <c r="CJ72" s="343">
        <f t="shared" si="84"/>
        <v>-0.67235550000000011</v>
      </c>
      <c r="CK72" s="343">
        <f t="shared" si="84"/>
        <v>0</v>
      </c>
      <c r="CL72" s="266">
        <f t="shared" si="84"/>
        <v>0.20949449999999992</v>
      </c>
      <c r="CM72" s="266">
        <f>IF('[1]FC7+5'!AC$3=1,'[1]FC7+5'!AC71,"")</f>
        <v>0</v>
      </c>
      <c r="CN72" s="266">
        <f t="shared" ref="CN72:CN79" si="93">I72-CM72</f>
        <v>0.20949449999999992</v>
      </c>
    </row>
    <row r="73" spans="1:92">
      <c r="A73" s="338" t="s">
        <v>62</v>
      </c>
      <c r="B73" s="338"/>
      <c r="C73" s="338"/>
      <c r="D73" s="242" t="s">
        <v>63</v>
      </c>
      <c r="E73" s="351"/>
      <c r="F73" s="350">
        <f>IF([1]Act!S$3=1,[1]Act!S72,"")</f>
        <v>1.6693</v>
      </c>
      <c r="G73" s="350">
        <f>IF([1]Act!T$3=1,[1]Act!T72,"")</f>
        <v>1.23</v>
      </c>
      <c r="H73" s="350" t="str">
        <f>IF([1]Act!U$3=1,[1]Act!U72,"")</f>
        <v/>
      </c>
      <c r="I73" s="213">
        <f t="shared" si="68"/>
        <v>2.8993000000000002</v>
      </c>
      <c r="K73" s="214">
        <f>IF([1]BP!S$3=1,[1]BP!S72,"")</f>
        <v>0.82316</v>
      </c>
      <c r="L73" s="214">
        <f>IF([1]BP!T$3=1,[1]BP!T72,"")</f>
        <v>0.88715999999999995</v>
      </c>
      <c r="M73" s="214" t="str">
        <f>IF([1]BP!U$3=1,[1]BP!U72,"")</f>
        <v/>
      </c>
      <c r="N73" s="271">
        <f t="shared" si="69"/>
        <v>1.7103199999999998</v>
      </c>
      <c r="O73" s="343">
        <f t="shared" si="70"/>
        <v>0.84614</v>
      </c>
      <c r="P73" s="343">
        <f t="shared" si="70"/>
        <v>0.34284000000000003</v>
      </c>
      <c r="Q73" s="343">
        <f t="shared" si="70"/>
        <v>0</v>
      </c>
      <c r="R73" s="272">
        <f t="shared" si="71"/>
        <v>1.1889800000000004</v>
      </c>
      <c r="T73" s="214">
        <f>IF('[1]FC2+10'!S$3=1,'[1]FC2+10'!S72,"")</f>
        <v>0.82316</v>
      </c>
      <c r="U73" s="214">
        <f>IF('[1]FC2+10'!T$3=1,'[1]FC2+10'!T72,"")</f>
        <v>0.88715999999999995</v>
      </c>
      <c r="V73" s="214" t="str">
        <f>IF('[1]FC2+10'!U$3=1,'[1]FC2+10'!U72,"")</f>
        <v/>
      </c>
      <c r="W73" s="263">
        <f t="shared" si="72"/>
        <v>1.7103199999999998</v>
      </c>
      <c r="X73" s="343">
        <f t="shared" si="73"/>
        <v>0.84614</v>
      </c>
      <c r="Y73" s="343">
        <f t="shared" si="73"/>
        <v>0.34284000000000003</v>
      </c>
      <c r="Z73" s="343">
        <f t="shared" si="73"/>
        <v>0</v>
      </c>
      <c r="AA73" s="264">
        <f t="shared" si="74"/>
        <v>1.1889800000000004</v>
      </c>
      <c r="AC73" s="214">
        <f>IF([1]OL!S$3=1,[1]OL!S72,"")</f>
        <v>1.6693</v>
      </c>
      <c r="AD73" s="214">
        <f>IF([1]OL!T$3=1,[1]OL!T72,"")</f>
        <v>0.123</v>
      </c>
      <c r="AE73" s="214" t="str">
        <f>IF([1]OL!U$3=1,[1]OL!U72,"")</f>
        <v/>
      </c>
      <c r="AF73" s="336">
        <f t="shared" si="75"/>
        <v>1.7923</v>
      </c>
      <c r="AG73" s="343">
        <f t="shared" si="76"/>
        <v>0</v>
      </c>
      <c r="AH73" s="343">
        <f t="shared" si="76"/>
        <v>1.107</v>
      </c>
      <c r="AI73" s="343">
        <f t="shared" si="76"/>
        <v>0</v>
      </c>
      <c r="AJ73" s="344">
        <f t="shared" si="76"/>
        <v>1.1070000000000002</v>
      </c>
      <c r="AL73" s="214">
        <f>IF([1]LY!S$3=1,[1]LY!S72,"")</f>
        <v>0.99399999999999999</v>
      </c>
      <c r="AM73" s="214">
        <f>IF([1]LY!T$3=1,[1]LY!T72,"")</f>
        <v>0.576836766</v>
      </c>
      <c r="AN73" s="214" t="str">
        <f>IF([1]LY!U$3=1,[1]LY!U72,"")</f>
        <v/>
      </c>
      <c r="AO73" s="345">
        <f t="shared" si="77"/>
        <v>1.570836766</v>
      </c>
      <c r="AP73" s="343">
        <f t="shared" si="78"/>
        <v>0.67530000000000001</v>
      </c>
      <c r="AQ73" s="343">
        <f t="shared" si="78"/>
        <v>0.65316323399999998</v>
      </c>
      <c r="AR73" s="343">
        <f t="shared" si="58"/>
        <v>0</v>
      </c>
      <c r="AS73" s="346">
        <f t="shared" si="58"/>
        <v>1.3284632340000002</v>
      </c>
      <c r="AU73" s="214">
        <f>[1]Act!L72</f>
        <v>0.55400000000000005</v>
      </c>
      <c r="AV73" s="347" t="e">
        <f t="shared" si="85"/>
        <v>#VALUE!</v>
      </c>
      <c r="AX73" s="214">
        <f>IF('[1]FC5+7'!S$3=1,'[1]FC5+7'!S72,"")</f>
        <v>0.51400000000000001</v>
      </c>
      <c r="AY73" s="214">
        <f>IF('[1]FC5+7'!T$3=1,'[1]FC5+7'!T72,"")</f>
        <v>0.42799999999999999</v>
      </c>
      <c r="AZ73" s="214" t="str">
        <f>IF('[1]FC5+7'!U$3=1,'[1]FC5+7'!U72,"")</f>
        <v/>
      </c>
      <c r="BA73" s="263">
        <f t="shared" si="79"/>
        <v>0.94199999999999995</v>
      </c>
      <c r="BB73" s="348">
        <f t="shared" si="80"/>
        <v>1.1553</v>
      </c>
      <c r="BC73" s="343">
        <f t="shared" si="80"/>
        <v>0.80200000000000005</v>
      </c>
      <c r="BD73" s="343">
        <f t="shared" si="80"/>
        <v>0</v>
      </c>
      <c r="BE73" s="264">
        <f t="shared" si="80"/>
        <v>1.9573000000000003</v>
      </c>
      <c r="BG73" s="214">
        <f t="shared" si="86"/>
        <v>1.6693</v>
      </c>
      <c r="BH73" s="214">
        <v>0.44816</v>
      </c>
      <c r="BI73" s="214">
        <v>0.48115999999999998</v>
      </c>
      <c r="BJ73" s="336">
        <f t="shared" si="81"/>
        <v>2.5986199999999999</v>
      </c>
      <c r="BK73" s="343">
        <f t="shared" si="87"/>
        <v>0</v>
      </c>
      <c r="BL73" s="343">
        <f t="shared" si="87"/>
        <v>1.107</v>
      </c>
      <c r="BM73" s="343">
        <f t="shared" si="88"/>
        <v>0</v>
      </c>
      <c r="BN73" s="344">
        <f t="shared" si="59"/>
        <v>0.30068000000000028</v>
      </c>
      <c r="BP73" s="214">
        <f t="shared" si="89"/>
        <v>1.6693</v>
      </c>
      <c r="BQ73" s="214">
        <f t="shared" si="89"/>
        <v>1.23</v>
      </c>
      <c r="BR73" s="214" t="e">
        <f>#REF!</f>
        <v>#REF!</v>
      </c>
      <c r="BS73" s="336" t="e">
        <f t="shared" si="82"/>
        <v>#REF!</v>
      </c>
      <c r="BT73" s="343">
        <f t="shared" si="90"/>
        <v>0</v>
      </c>
      <c r="BU73" s="343">
        <f t="shared" si="90"/>
        <v>1.107</v>
      </c>
      <c r="BV73" s="343" t="e">
        <f t="shared" si="90"/>
        <v>#REF!</v>
      </c>
      <c r="BW73" s="344" t="e">
        <f t="shared" si="90"/>
        <v>#REF!</v>
      </c>
      <c r="BY73" s="344" t="e">
        <f t="shared" si="91"/>
        <v>#VALUE!</v>
      </c>
      <c r="CA73" s="263">
        <f>'[1]FC2+10'!AA72</f>
        <v>1.6814799999999999</v>
      </c>
      <c r="CC73" s="344">
        <f t="shared" si="92"/>
        <v>-1.2178200000000003</v>
      </c>
      <c r="CE73" s="214">
        <f>IF('[1]FC7+5'!S$3=1,'[1]FC7+5'!S72,"")</f>
        <v>0.51300000000000001</v>
      </c>
      <c r="CF73" s="214">
        <f>IF('[1]FC7+5'!T$3=1,'[1]FC7+5'!T72,"")</f>
        <v>0.123</v>
      </c>
      <c r="CG73" s="214" t="str">
        <f>IF('[1]FC7+5'!U$3=1,'[1]FC7+5'!U72,"")</f>
        <v/>
      </c>
      <c r="CH73" s="266">
        <f t="shared" si="83"/>
        <v>0.63600000000000001</v>
      </c>
      <c r="CI73" s="348">
        <f t="shared" si="84"/>
        <v>1.1562999999999999</v>
      </c>
      <c r="CJ73" s="343">
        <f t="shared" si="84"/>
        <v>1.107</v>
      </c>
      <c r="CK73" s="343">
        <f t="shared" si="84"/>
        <v>0</v>
      </c>
      <c r="CL73" s="266">
        <f t="shared" si="84"/>
        <v>2.2633000000000001</v>
      </c>
      <c r="CM73" s="266">
        <f>IF('[1]FC7+5'!AC$3=1,'[1]FC7+5'!AC72,"")</f>
        <v>1.7429999999999999</v>
      </c>
      <c r="CN73" s="266">
        <f t="shared" si="93"/>
        <v>1.1563000000000003</v>
      </c>
    </row>
    <row r="74" spans="1:92">
      <c r="A74" s="338" t="s">
        <v>64</v>
      </c>
      <c r="B74" s="338"/>
      <c r="C74" s="338"/>
      <c r="D74" s="242" t="s">
        <v>65</v>
      </c>
      <c r="E74" s="351"/>
      <c r="F74" s="350">
        <f>IF([1]Act!S$3=1,[1]Act!S73,"")</f>
        <v>1.3988883249842416</v>
      </c>
      <c r="G74" s="350">
        <f>IF([1]Act!T$3=1,[1]Act!T73,"")</f>
        <v>1.3497170353466006</v>
      </c>
      <c r="H74" s="350" t="str">
        <f>IF([1]Act!U$3=1,[1]Act!U73,"")</f>
        <v/>
      </c>
      <c r="I74" s="213">
        <f t="shared" si="68"/>
        <v>2.748605360330842</v>
      </c>
      <c r="K74" s="214">
        <f>IF([1]BP!S$3=1,[1]BP!S73,"")</f>
        <v>2.4651423860199198</v>
      </c>
      <c r="L74" s="214">
        <f>IF([1]BP!T$3=1,[1]BP!T73,"")</f>
        <v>2.4651423860199198</v>
      </c>
      <c r="M74" s="214" t="str">
        <f>IF([1]BP!U$3=1,[1]BP!U73,"")</f>
        <v/>
      </c>
      <c r="N74" s="271">
        <f t="shared" si="69"/>
        <v>4.9302847720398395</v>
      </c>
      <c r="O74" s="343">
        <f t="shared" si="70"/>
        <v>-1.0662540610356781</v>
      </c>
      <c r="P74" s="343">
        <f t="shared" si="70"/>
        <v>-1.1154253506733192</v>
      </c>
      <c r="Q74" s="343">
        <f t="shared" si="70"/>
        <v>0</v>
      </c>
      <c r="R74" s="272">
        <f>I74-N74</f>
        <v>-2.1816794117089975</v>
      </c>
      <c r="T74" s="214">
        <f>IF('[1]FC2+10'!S$3=1,'[1]FC2+10'!S73,"")</f>
        <v>1.6530742662997739</v>
      </c>
      <c r="U74" s="214">
        <f>IF('[1]FC2+10'!T$3=1,'[1]FC2+10'!T73,"")</f>
        <v>1.6530742662997739</v>
      </c>
      <c r="V74" s="214" t="str">
        <f>IF('[1]FC2+10'!U$3=1,'[1]FC2+10'!U73,"")</f>
        <v/>
      </c>
      <c r="W74" s="263">
        <f t="shared" si="72"/>
        <v>3.3061485325995479</v>
      </c>
      <c r="X74" s="343">
        <f t="shared" si="73"/>
        <v>-0.25418594131553229</v>
      </c>
      <c r="Y74" s="343">
        <f t="shared" si="73"/>
        <v>-0.30335723095317335</v>
      </c>
      <c r="Z74" s="343">
        <f t="shared" si="73"/>
        <v>0</v>
      </c>
      <c r="AA74" s="352">
        <f t="shared" si="74"/>
        <v>-0.55754317226870587</v>
      </c>
      <c r="AC74" s="214">
        <f>IF([1]OL!S$3=1,[1]OL!S73,"")</f>
        <v>1.3988883249842416</v>
      </c>
      <c r="AD74" s="214">
        <f>IF([1]OL!T$3=1,[1]OL!T73,"")</f>
        <v>1.5284342684476986</v>
      </c>
      <c r="AE74" s="214" t="str">
        <f>IF([1]OL!U$3=1,[1]OL!U73,"")</f>
        <v/>
      </c>
      <c r="AF74" s="336">
        <f>SUM(AC74:AE74)</f>
        <v>2.9273225934319402</v>
      </c>
      <c r="AG74" s="343">
        <f t="shared" si="76"/>
        <v>0</v>
      </c>
      <c r="AH74" s="343">
        <f t="shared" si="76"/>
        <v>-0.17871723310109799</v>
      </c>
      <c r="AI74" s="343">
        <f t="shared" si="76"/>
        <v>0</v>
      </c>
      <c r="AJ74" s="344">
        <f t="shared" si="76"/>
        <v>-0.17871723310109822</v>
      </c>
      <c r="AL74" s="214">
        <f>IF([1]LY!S$3=1,[1]LY!S73,"")</f>
        <v>2.2497779592424516</v>
      </c>
      <c r="AM74" s="214">
        <f>IF([1]LY!T$3=1,[1]LY!T73,"")</f>
        <v>2.3053613777982336</v>
      </c>
      <c r="AN74" s="214" t="str">
        <f>IF([1]LY!U$3=1,[1]LY!U73,"")</f>
        <v/>
      </c>
      <c r="AO74" s="345">
        <f t="shared" si="77"/>
        <v>4.5551393370406856</v>
      </c>
      <c r="AP74" s="343">
        <f t="shared" si="78"/>
        <v>-0.85088963425820996</v>
      </c>
      <c r="AQ74" s="343">
        <f t="shared" si="78"/>
        <v>-0.95564434245163299</v>
      </c>
      <c r="AR74" s="343">
        <f t="shared" si="58"/>
        <v>0</v>
      </c>
      <c r="AS74" s="346">
        <f t="shared" si="58"/>
        <v>-1.8065339767098436</v>
      </c>
      <c r="AU74" s="214">
        <f>[1]Act!L73</f>
        <v>0.90222124336119403</v>
      </c>
      <c r="AV74" s="347" t="e">
        <f t="shared" si="85"/>
        <v>#VALUE!</v>
      </c>
      <c r="AX74" s="214">
        <f>IF('[1]FC5+7'!S$3=1,'[1]FC5+7'!S73,"")</f>
        <v>2.1726958683850643</v>
      </c>
      <c r="AY74" s="214">
        <f>IF('[1]FC5+7'!T$3=1,'[1]FC5+7'!T73,"")</f>
        <v>2.1726958683850643</v>
      </c>
      <c r="AZ74" s="214" t="str">
        <f>IF('[1]FC5+7'!U$3=1,'[1]FC5+7'!U73,"")</f>
        <v/>
      </c>
      <c r="BA74" s="263">
        <f t="shared" si="79"/>
        <v>4.3453917367701287</v>
      </c>
      <c r="BB74" s="348">
        <f t="shared" si="80"/>
        <v>-0.77380754340082269</v>
      </c>
      <c r="BC74" s="353">
        <f t="shared" si="80"/>
        <v>-0.82297883303846375</v>
      </c>
      <c r="BD74" s="343">
        <f t="shared" si="80"/>
        <v>0</v>
      </c>
      <c r="BE74" s="352">
        <f t="shared" si="80"/>
        <v>-1.5967863764392867</v>
      </c>
      <c r="BG74" s="214">
        <f t="shared" si="86"/>
        <v>1.3988883249842416</v>
      </c>
      <c r="BH74" s="214">
        <v>2.5</v>
      </c>
      <c r="BI74" s="214">
        <v>2.5</v>
      </c>
      <c r="BJ74" s="336">
        <f>SUM(BG74:BI74)</f>
        <v>6.3988883249842416</v>
      </c>
      <c r="BK74" s="343">
        <f t="shared" si="87"/>
        <v>0</v>
      </c>
      <c r="BL74" s="343">
        <f t="shared" si="87"/>
        <v>-0.17871723310109799</v>
      </c>
      <c r="BM74" s="343">
        <f t="shared" si="88"/>
        <v>0</v>
      </c>
      <c r="BN74" s="344">
        <f t="shared" si="59"/>
        <v>-3.6502829646533996</v>
      </c>
      <c r="BP74" s="214">
        <f t="shared" si="89"/>
        <v>1.3988883249842416</v>
      </c>
      <c r="BQ74" s="214">
        <f t="shared" si="89"/>
        <v>1.3497170353466006</v>
      </c>
      <c r="BR74" s="214" t="e">
        <f>#REF!</f>
        <v>#REF!</v>
      </c>
      <c r="BS74" s="336" t="e">
        <f>SUM(BP74:BR74)</f>
        <v>#REF!</v>
      </c>
      <c r="BT74" s="343">
        <f t="shared" si="90"/>
        <v>0</v>
      </c>
      <c r="BU74" s="343">
        <f t="shared" si="90"/>
        <v>-0.17871723310109799</v>
      </c>
      <c r="BV74" s="343" t="e">
        <f t="shared" si="90"/>
        <v>#REF!</v>
      </c>
      <c r="BW74" s="344" t="e">
        <f t="shared" si="90"/>
        <v>#REF!</v>
      </c>
      <c r="BY74" s="344" t="e">
        <f t="shared" si="91"/>
        <v>#VALUE!</v>
      </c>
      <c r="CA74" s="263">
        <f>'[1]FC2+10'!AA73</f>
        <v>4.9592227988993223</v>
      </c>
      <c r="CC74" s="344">
        <f t="shared" si="92"/>
        <v>2.2106174385684803</v>
      </c>
      <c r="CE74" s="214">
        <f>IF('[1]FC7+5'!S$3=1,'[1]FC7+5'!S73,"")</f>
        <v>1.5330645305018482</v>
      </c>
      <c r="CF74" s="214">
        <f>IF('[1]FC7+5'!T$3=1,'[1]FC7+5'!T73,"")</f>
        <v>1.5330645305018482</v>
      </c>
      <c r="CG74" s="214" t="str">
        <f>IF('[1]FC7+5'!U$3=1,'[1]FC7+5'!U73,"")</f>
        <v/>
      </c>
      <c r="CH74" s="266">
        <f t="shared" si="83"/>
        <v>3.0661290610036964</v>
      </c>
      <c r="CI74" s="348">
        <f t="shared" si="84"/>
        <v>-0.13417620551760656</v>
      </c>
      <c r="CJ74" s="353">
        <f t="shared" si="84"/>
        <v>-0.18334749515524762</v>
      </c>
      <c r="CK74" s="343">
        <f t="shared" si="84"/>
        <v>0</v>
      </c>
      <c r="CL74" s="354">
        <f t="shared" si="84"/>
        <v>-0.3175237006728544</v>
      </c>
      <c r="CM74" s="266">
        <f>IF('[1]FC7+5'!AC$3=1,'[1]FC7+5'!AC73,"")</f>
        <v>4.5991935915055446</v>
      </c>
      <c r="CN74" s="266">
        <f t="shared" si="93"/>
        <v>-1.8505882311747026</v>
      </c>
    </row>
    <row r="75" spans="1:92">
      <c r="A75" s="355" t="s">
        <v>66</v>
      </c>
      <c r="B75" s="338"/>
      <c r="C75" s="338"/>
      <c r="D75" s="242" t="s">
        <v>67</v>
      </c>
      <c r="E75" s="351"/>
      <c r="F75" s="350">
        <f>IF([1]Act!S$3=1,[1]Act!S74,"")</f>
        <v>0</v>
      </c>
      <c r="G75" s="350">
        <f>IF([1]Act!T$3=1,[1]Act!T74,"")</f>
        <v>0</v>
      </c>
      <c r="H75" s="350" t="str">
        <f>IF([1]Act!U$3=1,[1]Act!U74,"")</f>
        <v/>
      </c>
      <c r="I75" s="213">
        <f>SUM(F75:H75)</f>
        <v>0</v>
      </c>
      <c r="K75" s="214">
        <f>IF([1]BP!S$3=1,[1]BP!S74,"")</f>
        <v>0</v>
      </c>
      <c r="L75" s="214">
        <f>IF([1]BP!T$3=1,[1]BP!T74,"")</f>
        <v>0</v>
      </c>
      <c r="M75" s="214" t="str">
        <f>IF([1]BP!U$3=1,[1]BP!U74,"")</f>
        <v/>
      </c>
      <c r="N75" s="271">
        <f>SUM(K75:M75)</f>
        <v>0</v>
      </c>
      <c r="O75" s="343">
        <f t="shared" si="70"/>
        <v>0</v>
      </c>
      <c r="P75" s="343">
        <f t="shared" si="70"/>
        <v>0</v>
      </c>
      <c r="Q75" s="343">
        <f t="shared" si="70"/>
        <v>0</v>
      </c>
      <c r="R75" s="272">
        <f>I75-N75</f>
        <v>0</v>
      </c>
      <c r="T75" s="214">
        <f>IF('[1]FC2+10'!S$3=1,'[1]FC2+10'!S74,"")</f>
        <v>0</v>
      </c>
      <c r="U75" s="214">
        <f>IF('[1]FC2+10'!T$3=1,'[1]FC2+10'!T74,"")</f>
        <v>0</v>
      </c>
      <c r="V75" s="214" t="str">
        <f>IF('[1]FC2+10'!U$3=1,'[1]FC2+10'!U74,"")</f>
        <v/>
      </c>
      <c r="W75" s="263">
        <f t="shared" si="72"/>
        <v>0</v>
      </c>
      <c r="X75" s="343">
        <f t="shared" si="73"/>
        <v>0</v>
      </c>
      <c r="Y75" s="343">
        <f t="shared" si="73"/>
        <v>0</v>
      </c>
      <c r="Z75" s="343">
        <f t="shared" si="73"/>
        <v>0</v>
      </c>
      <c r="AA75" s="352">
        <f t="shared" si="74"/>
        <v>0</v>
      </c>
      <c r="AC75" s="214">
        <f>IF([1]OL!S$3=1,[1]OL!S74,"")</f>
        <v>0</v>
      </c>
      <c r="AD75" s="214">
        <f>IF([1]OL!T$3=1,[1]OL!T74,"")</f>
        <v>17.899999999999999</v>
      </c>
      <c r="AE75" s="214" t="str">
        <f>IF([1]OL!U$3=1,[1]OL!U74,"")</f>
        <v/>
      </c>
      <c r="AF75" s="336">
        <f>SUM(AC75:AE75)</f>
        <v>17.899999999999999</v>
      </c>
      <c r="AG75" s="343">
        <f t="shared" si="76"/>
        <v>0</v>
      </c>
      <c r="AH75" s="343">
        <f t="shared" si="76"/>
        <v>-17.899999999999999</v>
      </c>
      <c r="AI75" s="343">
        <f t="shared" si="76"/>
        <v>0</v>
      </c>
      <c r="AJ75" s="344">
        <f t="shared" si="76"/>
        <v>-17.899999999999999</v>
      </c>
      <c r="AL75" s="214">
        <f>IF([1]LY!S$3=1,[1]LY!S74,"")</f>
        <v>0</v>
      </c>
      <c r="AM75" s="214">
        <f>IF([1]LY!T$3=1,[1]LY!T74,"")</f>
        <v>0</v>
      </c>
      <c r="AN75" s="214" t="str">
        <f>IF([1]LY!U$3=1,[1]LY!U74,"")</f>
        <v/>
      </c>
      <c r="AO75" s="345">
        <f>SUM(AL75:AN75)</f>
        <v>0</v>
      </c>
      <c r="AP75" s="343">
        <f t="shared" si="78"/>
        <v>0</v>
      </c>
      <c r="AQ75" s="343">
        <f t="shared" si="78"/>
        <v>0</v>
      </c>
      <c r="AR75" s="343">
        <f t="shared" si="78"/>
        <v>0</v>
      </c>
      <c r="AS75" s="346">
        <f t="shared" si="78"/>
        <v>0</v>
      </c>
      <c r="AU75" s="214">
        <f>[1]Act!L74</f>
        <v>0</v>
      </c>
      <c r="AV75" s="347" t="e">
        <f t="shared" si="85"/>
        <v>#VALUE!</v>
      </c>
      <c r="AX75" s="214">
        <f>IF('[1]FC5+7'!S$3=1,'[1]FC5+7'!S74,"")</f>
        <v>0</v>
      </c>
      <c r="AY75" s="214">
        <f>IF('[1]FC5+7'!T$3=1,'[1]FC5+7'!T74,"")</f>
        <v>0</v>
      </c>
      <c r="AZ75" s="214" t="str">
        <f>IF('[1]FC5+7'!U$3=1,'[1]FC5+7'!U74,"")</f>
        <v/>
      </c>
      <c r="BA75" s="263">
        <f t="shared" si="79"/>
        <v>0</v>
      </c>
      <c r="BB75" s="348">
        <f t="shared" si="80"/>
        <v>0</v>
      </c>
      <c r="BC75" s="353">
        <f t="shared" si="80"/>
        <v>0</v>
      </c>
      <c r="BD75" s="343">
        <f t="shared" si="80"/>
        <v>0</v>
      </c>
      <c r="BE75" s="352">
        <f t="shared" si="80"/>
        <v>0</v>
      </c>
      <c r="BG75" s="214">
        <f t="shared" si="86"/>
        <v>0</v>
      </c>
      <c r="BH75" s="214">
        <v>0</v>
      </c>
      <c r="BI75" s="214">
        <v>0</v>
      </c>
      <c r="BJ75" s="336">
        <f>SUM(BG75:BI75)</f>
        <v>0</v>
      </c>
      <c r="BK75" s="343">
        <f t="shared" si="87"/>
        <v>0</v>
      </c>
      <c r="BL75" s="343">
        <f t="shared" si="87"/>
        <v>-17.899999999999999</v>
      </c>
      <c r="BM75" s="343">
        <f t="shared" si="88"/>
        <v>0</v>
      </c>
      <c r="BN75" s="344">
        <f t="shared" si="59"/>
        <v>0</v>
      </c>
      <c r="BP75" s="214"/>
      <c r="BQ75" s="214"/>
      <c r="BR75" s="214"/>
      <c r="BS75" s="336">
        <f>SUM(BP75:BR75)</f>
        <v>0</v>
      </c>
      <c r="BT75" s="343">
        <f t="shared" si="90"/>
        <v>0</v>
      </c>
      <c r="BU75" s="343">
        <f t="shared" si="90"/>
        <v>-17.899999999999999</v>
      </c>
      <c r="BV75" s="343" t="e">
        <f t="shared" si="90"/>
        <v>#VALUE!</v>
      </c>
      <c r="BW75" s="344">
        <f t="shared" si="90"/>
        <v>-17.899999999999999</v>
      </c>
      <c r="BY75" s="344" t="e">
        <f t="shared" si="91"/>
        <v>#VALUE!</v>
      </c>
      <c r="CA75" s="263">
        <f>'[1]FC2+10'!AA74</f>
        <v>0</v>
      </c>
      <c r="CC75" s="344">
        <f t="shared" si="92"/>
        <v>0</v>
      </c>
      <c r="CE75" s="214">
        <f>IF('[1]FC7+5'!S$3=1,'[1]FC7+5'!S74,"")</f>
        <v>0</v>
      </c>
      <c r="CF75" s="214">
        <f>IF('[1]FC7+5'!T$3=1,'[1]FC7+5'!T74,"")</f>
        <v>0</v>
      </c>
      <c r="CG75" s="214" t="str">
        <f>IF('[1]FC7+5'!U$3=1,'[1]FC7+5'!U74,"")</f>
        <v/>
      </c>
      <c r="CH75" s="266">
        <f t="shared" si="83"/>
        <v>0</v>
      </c>
      <c r="CI75" s="348">
        <f t="shared" si="84"/>
        <v>0</v>
      </c>
      <c r="CJ75" s="353">
        <f t="shared" si="84"/>
        <v>0</v>
      </c>
      <c r="CK75" s="343">
        <f t="shared" si="84"/>
        <v>0</v>
      </c>
      <c r="CL75" s="354">
        <f t="shared" si="84"/>
        <v>0</v>
      </c>
      <c r="CM75" s="266">
        <f>IF('[1]FC7+5'!AC$3=1,'[1]FC7+5'!AC74,"")</f>
        <v>0</v>
      </c>
      <c r="CN75" s="266">
        <f t="shared" si="93"/>
        <v>0</v>
      </c>
    </row>
    <row r="76" spans="1:92">
      <c r="A76" s="355" t="s">
        <v>68</v>
      </c>
      <c r="B76" s="338"/>
      <c r="C76" s="338"/>
      <c r="D76" s="242" t="s">
        <v>69</v>
      </c>
      <c r="E76" s="351"/>
      <c r="F76" s="350">
        <f>IF([1]Act!S$3=1,[1]Act!S75,"")</f>
        <v>0</v>
      </c>
      <c r="G76" s="350">
        <f>IF([1]Act!T$3=1,[1]Act!T75,"")</f>
        <v>0</v>
      </c>
      <c r="H76" s="350" t="str">
        <f>IF([1]Act!U$3=1,[1]Act!U75,"")</f>
        <v/>
      </c>
      <c r="I76" s="213">
        <f>SUM(F76:H76)</f>
        <v>0</v>
      </c>
      <c r="K76" s="214">
        <f>IF([1]BP!S$3=1,[1]BP!S75,"")</f>
        <v>0</v>
      </c>
      <c r="L76" s="214">
        <f>IF([1]BP!T$3=1,[1]BP!T75,"")</f>
        <v>0</v>
      </c>
      <c r="M76" s="214" t="str">
        <f>IF([1]BP!U$3=1,[1]BP!U75,"")</f>
        <v/>
      </c>
      <c r="N76" s="271">
        <f>SUM(K76:M76)</f>
        <v>0</v>
      </c>
      <c r="O76" s="343">
        <f t="shared" si="70"/>
        <v>0</v>
      </c>
      <c r="P76" s="343">
        <f t="shared" si="70"/>
        <v>0</v>
      </c>
      <c r="Q76" s="343">
        <f t="shared" si="70"/>
        <v>0</v>
      </c>
      <c r="R76" s="272">
        <f>I76-N76</f>
        <v>0</v>
      </c>
      <c r="T76" s="214">
        <f>IF('[1]FC2+10'!S$3=1,'[1]FC2+10'!S75,"")</f>
        <v>0</v>
      </c>
      <c r="U76" s="214">
        <f>IF('[1]FC2+10'!T$3=1,'[1]FC2+10'!T75,"")</f>
        <v>0</v>
      </c>
      <c r="V76" s="214" t="str">
        <f>IF('[1]FC2+10'!U$3=1,'[1]FC2+10'!U75,"")</f>
        <v/>
      </c>
      <c r="W76" s="263">
        <f t="shared" si="72"/>
        <v>0</v>
      </c>
      <c r="X76" s="343">
        <f t="shared" si="73"/>
        <v>0</v>
      </c>
      <c r="Y76" s="343">
        <f t="shared" si="73"/>
        <v>0</v>
      </c>
      <c r="Z76" s="343">
        <f t="shared" si="73"/>
        <v>0</v>
      </c>
      <c r="AA76" s="352">
        <f t="shared" si="74"/>
        <v>0</v>
      </c>
      <c r="AC76" s="214"/>
      <c r="AD76" s="214"/>
      <c r="AE76" s="214" t="str">
        <f>IF([1]OL!U$3=1,[1]OL!U75,"")</f>
        <v/>
      </c>
      <c r="AF76" s="336">
        <f>SUM(AC76:AE76)</f>
        <v>0</v>
      </c>
      <c r="AG76" s="343">
        <f t="shared" si="76"/>
        <v>0</v>
      </c>
      <c r="AH76" s="343">
        <f t="shared" si="76"/>
        <v>0</v>
      </c>
      <c r="AI76" s="343">
        <f t="shared" si="76"/>
        <v>0</v>
      </c>
      <c r="AJ76" s="344">
        <f t="shared" si="76"/>
        <v>0</v>
      </c>
      <c r="AL76" s="214">
        <f>IF([1]LY!S$3=1,[1]LY!S75,"")</f>
        <v>0</v>
      </c>
      <c r="AM76" s="214">
        <f>IF([1]LY!T$3=1,[1]LY!T75,"")</f>
        <v>0</v>
      </c>
      <c r="AN76" s="214" t="str">
        <f>IF([1]LY!U$3=1,[1]LY!U75,"")</f>
        <v/>
      </c>
      <c r="AO76" s="345">
        <f>SUM(AL76:AN76)</f>
        <v>0</v>
      </c>
      <c r="AP76" s="343">
        <f t="shared" si="78"/>
        <v>0</v>
      </c>
      <c r="AQ76" s="343">
        <f t="shared" si="78"/>
        <v>0</v>
      </c>
      <c r="AR76" s="343">
        <f t="shared" si="78"/>
        <v>0</v>
      </c>
      <c r="AS76" s="346">
        <f t="shared" si="78"/>
        <v>0</v>
      </c>
      <c r="AU76" s="214">
        <f>[1]Act!L75</f>
        <v>0</v>
      </c>
      <c r="AV76" s="347" t="e">
        <f t="shared" si="85"/>
        <v>#VALUE!</v>
      </c>
      <c r="AX76" s="214">
        <f>IF('[1]FC5+7'!S$3=1,'[1]FC5+7'!S75,"")</f>
        <v>0</v>
      </c>
      <c r="AY76" s="214">
        <f>IF('[1]FC5+7'!T$3=1,'[1]FC5+7'!T75,"")</f>
        <v>0</v>
      </c>
      <c r="AZ76" s="214" t="str">
        <f>IF('[1]FC5+7'!U$3=1,'[1]FC5+7'!U75,"")</f>
        <v/>
      </c>
      <c r="BA76" s="263">
        <f>SUM(AX76:AZ76)</f>
        <v>0</v>
      </c>
      <c r="BB76" s="348">
        <f>IFERROR(F76-AX76,0)</f>
        <v>0</v>
      </c>
      <c r="BC76" s="353">
        <f>IFERROR(G76-AY76,0)</f>
        <v>0</v>
      </c>
      <c r="BD76" s="343">
        <f>IFERROR(H76-AZ76,0)</f>
        <v>0</v>
      </c>
      <c r="BE76" s="352">
        <f>IFERROR(I76-BA76,0)</f>
        <v>0</v>
      </c>
      <c r="BG76" s="214">
        <f t="shared" si="86"/>
        <v>0</v>
      </c>
      <c r="BH76" s="214">
        <v>0</v>
      </c>
      <c r="BI76" s="214">
        <v>0</v>
      </c>
      <c r="BJ76" s="336">
        <f>SUM(BG76:BI76)</f>
        <v>0</v>
      </c>
      <c r="BK76" s="343">
        <f t="shared" si="87"/>
        <v>0</v>
      </c>
      <c r="BL76" s="343">
        <f t="shared" si="87"/>
        <v>0</v>
      </c>
      <c r="BM76" s="343">
        <f t="shared" si="88"/>
        <v>0</v>
      </c>
      <c r="BN76" s="344">
        <f>IFERROR(I76-BJ76,0)</f>
        <v>0</v>
      </c>
      <c r="BP76" s="214"/>
      <c r="BQ76" s="214"/>
      <c r="BR76" s="214"/>
      <c r="BS76" s="336">
        <f>SUM(BP76:BR76)</f>
        <v>0</v>
      </c>
      <c r="BT76" s="343">
        <f t="shared" si="90"/>
        <v>0</v>
      </c>
      <c r="BU76" s="343">
        <f t="shared" si="90"/>
        <v>0</v>
      </c>
      <c r="BV76" s="343" t="e">
        <f t="shared" si="90"/>
        <v>#VALUE!</v>
      </c>
      <c r="BW76" s="344">
        <f t="shared" si="90"/>
        <v>0</v>
      </c>
      <c r="BY76" s="344" t="e">
        <f t="shared" si="91"/>
        <v>#VALUE!</v>
      </c>
      <c r="CA76" s="263">
        <f>'[1]FC2+10'!AA75</f>
        <v>0</v>
      </c>
      <c r="CC76" s="344">
        <f t="shared" si="92"/>
        <v>0</v>
      </c>
      <c r="CE76" s="214">
        <f>IF('[1]FC7+5'!S$3=1,'[1]FC7+5'!S75,"")</f>
        <v>0</v>
      </c>
      <c r="CF76" s="214">
        <f>IF('[1]FC7+5'!T$3=1,'[1]FC7+5'!T75,"")</f>
        <v>0</v>
      </c>
      <c r="CG76" s="214" t="str">
        <f>IF('[1]FC7+5'!U$3=1,'[1]FC7+5'!U75,"")</f>
        <v/>
      </c>
      <c r="CH76" s="266">
        <f>SUM(CE76:CG76)</f>
        <v>0</v>
      </c>
      <c r="CI76" s="348">
        <f t="shared" si="84"/>
        <v>0</v>
      </c>
      <c r="CJ76" s="353">
        <f t="shared" si="84"/>
        <v>0</v>
      </c>
      <c r="CK76" s="343">
        <f t="shared" si="84"/>
        <v>0</v>
      </c>
      <c r="CL76" s="354">
        <f t="shared" si="84"/>
        <v>0</v>
      </c>
      <c r="CM76" s="266">
        <f>IF('[1]FC7+5'!AC$3=1,'[1]FC7+5'!AC75,"")</f>
        <v>0</v>
      </c>
      <c r="CN76" s="266">
        <f t="shared" si="93"/>
        <v>0</v>
      </c>
    </row>
    <row r="77" spans="1:92">
      <c r="A77" s="355"/>
      <c r="B77" s="338"/>
      <c r="C77" s="338"/>
      <c r="D77" s="242" t="s">
        <v>70</v>
      </c>
      <c r="E77" s="351"/>
      <c r="F77" s="350">
        <f>IF([1]Act!S$3=1,[1]Act!S76,"")</f>
        <v>0</v>
      </c>
      <c r="G77" s="350">
        <f>IF([1]Act!T$3=1,[1]Act!T76,"")</f>
        <v>0</v>
      </c>
      <c r="H77" s="350" t="str">
        <f>IF([1]Act!U$3=1,[1]Act!U76,"")</f>
        <v/>
      </c>
      <c r="I77" s="213">
        <f>SUM(F77:H77)</f>
        <v>0</v>
      </c>
      <c r="K77" s="214">
        <f>IF([1]BP!S$3=1,[1]BP!S76,"")</f>
        <v>0</v>
      </c>
      <c r="L77" s="214">
        <f>IF([1]BP!T$3=1,[1]BP!T76,"")</f>
        <v>0</v>
      </c>
      <c r="M77" s="214" t="str">
        <f>IF([1]BP!U$3=1,[1]BP!U76,"")</f>
        <v/>
      </c>
      <c r="N77" s="271">
        <f>SUM(K77:M77)</f>
        <v>0</v>
      </c>
      <c r="O77" s="343">
        <f t="shared" si="70"/>
        <v>0</v>
      </c>
      <c r="P77" s="343">
        <f t="shared" si="70"/>
        <v>0</v>
      </c>
      <c r="Q77" s="343">
        <f t="shared" si="70"/>
        <v>0</v>
      </c>
      <c r="R77" s="272">
        <f>I77-N77</f>
        <v>0</v>
      </c>
      <c r="T77" s="214">
        <f>IF('[1]FC2+10'!S$3=1,'[1]FC2+10'!S76,"")</f>
        <v>0</v>
      </c>
      <c r="U77" s="214">
        <f>IF('[1]FC2+10'!T$3=1,'[1]FC2+10'!T76,"")</f>
        <v>0</v>
      </c>
      <c r="V77" s="214" t="str">
        <f>IF('[1]FC2+10'!U$3=1,'[1]FC2+10'!U76,"")</f>
        <v/>
      </c>
      <c r="W77" s="263">
        <f t="shared" si="72"/>
        <v>0</v>
      </c>
      <c r="X77" s="343">
        <f t="shared" si="73"/>
        <v>0</v>
      </c>
      <c r="Y77" s="343">
        <f t="shared" si="73"/>
        <v>0</v>
      </c>
      <c r="Z77" s="343">
        <f t="shared" si="73"/>
        <v>0</v>
      </c>
      <c r="AA77" s="352">
        <f t="shared" si="74"/>
        <v>0</v>
      </c>
      <c r="AC77" s="214"/>
      <c r="AD77" s="214"/>
      <c r="AE77" s="214" t="str">
        <f>IF([1]OL!U$3=1,[1]OL!U76,"")</f>
        <v/>
      </c>
      <c r="AF77" s="336">
        <f>SUM(AC77:AE77)</f>
        <v>0</v>
      </c>
      <c r="AG77" s="343">
        <f t="shared" si="76"/>
        <v>0</v>
      </c>
      <c r="AH77" s="343">
        <f t="shared" si="76"/>
        <v>0</v>
      </c>
      <c r="AI77" s="343">
        <f t="shared" si="76"/>
        <v>0</v>
      </c>
      <c r="AJ77" s="344">
        <f t="shared" si="76"/>
        <v>0</v>
      </c>
      <c r="AL77" s="214">
        <f>IF([1]LY!S$3=1,[1]LY!S76,"")</f>
        <v>0</v>
      </c>
      <c r="AM77" s="214">
        <f>IF([1]LY!T$3=1,[1]LY!T76,"")</f>
        <v>0</v>
      </c>
      <c r="AN77" s="214" t="str">
        <f>IF([1]LY!U$3=1,[1]LY!U76,"")</f>
        <v/>
      </c>
      <c r="AO77" s="345">
        <f>SUM(AL77:AN77)</f>
        <v>0</v>
      </c>
      <c r="AP77" s="343">
        <f t="shared" si="78"/>
        <v>0</v>
      </c>
      <c r="AQ77" s="343">
        <f t="shared" si="78"/>
        <v>0</v>
      </c>
      <c r="AR77" s="343">
        <f t="shared" si="78"/>
        <v>0</v>
      </c>
      <c r="AS77" s="346">
        <f t="shared" si="78"/>
        <v>0</v>
      </c>
      <c r="AU77" s="214">
        <f>[1]Act!L76</f>
        <v>0</v>
      </c>
      <c r="AV77" s="347" t="e">
        <f t="shared" si="85"/>
        <v>#VALUE!</v>
      </c>
      <c r="AX77" s="214">
        <v>0</v>
      </c>
      <c r="AY77" s="214">
        <v>0</v>
      </c>
      <c r="AZ77" s="214">
        <v>0</v>
      </c>
      <c r="BA77" s="263">
        <f>SUM(AX77:AZ77)</f>
        <v>0</v>
      </c>
      <c r="BB77" s="348">
        <v>0</v>
      </c>
      <c r="BC77" s="353">
        <v>0</v>
      </c>
      <c r="BD77" s="343">
        <v>0</v>
      </c>
      <c r="BE77" s="352">
        <v>0</v>
      </c>
      <c r="BG77" s="214">
        <f t="shared" si="86"/>
        <v>0</v>
      </c>
      <c r="BH77" s="214">
        <v>0</v>
      </c>
      <c r="BI77" s="214">
        <v>0</v>
      </c>
      <c r="BJ77" s="336">
        <f>SUM(BG77:BI77)</f>
        <v>0</v>
      </c>
      <c r="BK77" s="343">
        <f t="shared" si="87"/>
        <v>0</v>
      </c>
      <c r="BL77" s="343">
        <f t="shared" si="87"/>
        <v>0</v>
      </c>
      <c r="BM77" s="343">
        <f t="shared" si="88"/>
        <v>0</v>
      </c>
      <c r="BN77" s="344">
        <f>IFERROR(I77-BJ77,0)</f>
        <v>0</v>
      </c>
      <c r="BP77" s="214"/>
      <c r="BQ77" s="214"/>
      <c r="BR77" s="214"/>
      <c r="BS77" s="336">
        <f>SUM(BP77:BR77)</f>
        <v>0</v>
      </c>
      <c r="BT77" s="343">
        <f t="shared" si="90"/>
        <v>0</v>
      </c>
      <c r="BU77" s="343">
        <f t="shared" si="90"/>
        <v>0</v>
      </c>
      <c r="BV77" s="343" t="e">
        <f t="shared" si="90"/>
        <v>#VALUE!</v>
      </c>
      <c r="BW77" s="344">
        <f t="shared" si="90"/>
        <v>0</v>
      </c>
      <c r="BY77" s="344" t="e">
        <f t="shared" si="91"/>
        <v>#VALUE!</v>
      </c>
      <c r="CA77" s="263">
        <f>'[1]FC2+10'!AA76</f>
        <v>0</v>
      </c>
      <c r="CC77" s="344">
        <f t="shared" si="92"/>
        <v>0</v>
      </c>
      <c r="CE77" s="214">
        <v>0</v>
      </c>
      <c r="CF77" s="214">
        <v>0</v>
      </c>
      <c r="CG77" s="214">
        <v>0</v>
      </c>
      <c r="CH77" s="266">
        <f>SUM(CE77:CG77)</f>
        <v>0</v>
      </c>
      <c r="CI77" s="348">
        <f t="shared" si="84"/>
        <v>0</v>
      </c>
      <c r="CJ77" s="353">
        <f t="shared" si="84"/>
        <v>0</v>
      </c>
      <c r="CK77" s="343">
        <f t="shared" si="84"/>
        <v>0</v>
      </c>
      <c r="CL77" s="354">
        <f t="shared" si="84"/>
        <v>0</v>
      </c>
      <c r="CM77" s="266">
        <v>0</v>
      </c>
      <c r="CN77" s="266">
        <f t="shared" si="93"/>
        <v>0</v>
      </c>
    </row>
    <row r="78" spans="1:92">
      <c r="A78" s="338"/>
      <c r="B78" s="338"/>
      <c r="C78" s="338"/>
      <c r="D78" s="242" t="s">
        <v>71</v>
      </c>
      <c r="E78" s="351"/>
      <c r="F78" s="350">
        <f>IF([1]Act!S$3=1,[1]Act!S77,"")</f>
        <v>0</v>
      </c>
      <c r="G78" s="350">
        <f>IF([1]Act!T$3=1,[1]Act!T77,"")</f>
        <v>0</v>
      </c>
      <c r="H78" s="350" t="str">
        <f>IF([1]Act!U$3=1,[1]Act!U77,"")</f>
        <v/>
      </c>
      <c r="I78" s="213">
        <f>SUM(F78:H78)</f>
        <v>0</v>
      </c>
      <c r="K78" s="214">
        <f>IF([1]BP!S$3=1,[1]BP!S77,"")</f>
        <v>0</v>
      </c>
      <c r="L78" s="214">
        <f>IF([1]BP!T$3=1,[1]BP!T77,"")</f>
        <v>0</v>
      </c>
      <c r="M78" s="214" t="str">
        <f>IF([1]BP!U$3=1,[1]BP!U77,"")</f>
        <v/>
      </c>
      <c r="N78" s="271">
        <f>SUM(K78:M78)</f>
        <v>0</v>
      </c>
      <c r="O78" s="343">
        <f t="shared" si="70"/>
        <v>0</v>
      </c>
      <c r="P78" s="343">
        <f t="shared" si="70"/>
        <v>0</v>
      </c>
      <c r="Q78" s="343">
        <f t="shared" si="70"/>
        <v>0</v>
      </c>
      <c r="R78" s="272">
        <f>I78-N78</f>
        <v>0</v>
      </c>
      <c r="T78" s="214">
        <f>IF('[1]FC2+10'!S$3=1,'[1]FC2+10'!S77,"")</f>
        <v>0</v>
      </c>
      <c r="U78" s="214">
        <f>IF('[1]FC2+10'!T$3=1,'[1]FC2+10'!T77,"")</f>
        <v>0</v>
      </c>
      <c r="V78" s="214" t="str">
        <f>IF('[1]FC2+10'!U$3=1,'[1]FC2+10'!U77,"")</f>
        <v/>
      </c>
      <c r="W78" s="263">
        <f t="shared" si="72"/>
        <v>0</v>
      </c>
      <c r="X78" s="343">
        <f t="shared" si="73"/>
        <v>0</v>
      </c>
      <c r="Y78" s="343">
        <f t="shared" si="73"/>
        <v>0</v>
      </c>
      <c r="Z78" s="343">
        <f t="shared" si="73"/>
        <v>0</v>
      </c>
      <c r="AA78" s="352">
        <f t="shared" si="74"/>
        <v>0</v>
      </c>
      <c r="AC78" s="214"/>
      <c r="AD78" s="214"/>
      <c r="AE78" s="214" t="str">
        <f>IF([1]OL!U$3=1,[1]OL!U77,"")</f>
        <v/>
      </c>
      <c r="AF78" s="336">
        <f>SUM(AC78:AE78)</f>
        <v>0</v>
      </c>
      <c r="AG78" s="343">
        <f t="shared" si="76"/>
        <v>0</v>
      </c>
      <c r="AH78" s="343">
        <f t="shared" si="76"/>
        <v>0</v>
      </c>
      <c r="AI78" s="343">
        <f t="shared" si="76"/>
        <v>0</v>
      </c>
      <c r="AJ78" s="344">
        <f t="shared" si="76"/>
        <v>0</v>
      </c>
      <c r="AL78" s="214">
        <f>IF([1]LY!S$3=1,[1]LY!S77,"")</f>
        <v>0</v>
      </c>
      <c r="AM78" s="214">
        <f>IF([1]LY!T$3=1,[1]LY!T77,"")</f>
        <v>0</v>
      </c>
      <c r="AN78" s="214" t="str">
        <f>IF([1]LY!U$3=1,[1]LY!U77,"")</f>
        <v/>
      </c>
      <c r="AO78" s="345">
        <f>SUM(AL78:AN78)</f>
        <v>0</v>
      </c>
      <c r="AP78" s="343">
        <f t="shared" si="78"/>
        <v>0</v>
      </c>
      <c r="AQ78" s="343">
        <f t="shared" si="78"/>
        <v>0</v>
      </c>
      <c r="AR78" s="343">
        <f t="shared" si="78"/>
        <v>0</v>
      </c>
      <c r="AS78" s="346">
        <f t="shared" si="78"/>
        <v>0</v>
      </c>
      <c r="AU78" s="214">
        <f>[1]Act!L77</f>
        <v>0</v>
      </c>
      <c r="AV78" s="347" t="e">
        <f t="shared" si="85"/>
        <v>#VALUE!</v>
      </c>
      <c r="AX78" s="214">
        <v>0</v>
      </c>
      <c r="AY78" s="214">
        <v>0</v>
      </c>
      <c r="AZ78" s="214">
        <v>0</v>
      </c>
      <c r="BA78" s="263">
        <f>SUM(AX78:AZ78)</f>
        <v>0</v>
      </c>
      <c r="BB78" s="343">
        <v>0</v>
      </c>
      <c r="BC78" s="353">
        <v>0</v>
      </c>
      <c r="BD78" s="343">
        <v>0</v>
      </c>
      <c r="BE78" s="352">
        <v>0</v>
      </c>
      <c r="BG78" s="214">
        <f t="shared" si="86"/>
        <v>0</v>
      </c>
      <c r="BH78" s="214">
        <v>0</v>
      </c>
      <c r="BI78" s="214">
        <v>0</v>
      </c>
      <c r="BJ78" s="336">
        <f>SUM(BG78:BI78)</f>
        <v>0</v>
      </c>
      <c r="BK78" s="343">
        <f t="shared" si="87"/>
        <v>0</v>
      </c>
      <c r="BL78" s="343">
        <f t="shared" si="87"/>
        <v>0</v>
      </c>
      <c r="BM78" s="343">
        <f t="shared" si="88"/>
        <v>0</v>
      </c>
      <c r="BN78" s="344">
        <f>IFERROR(I78-BJ78,0)</f>
        <v>0</v>
      </c>
      <c r="BP78" s="214">
        <v>0</v>
      </c>
      <c r="BQ78" s="214">
        <v>-2.9958999999999998</v>
      </c>
      <c r="BR78" s="214"/>
      <c r="BS78" s="336">
        <f>SUM(BP78:BR78)</f>
        <v>-2.9958999999999998</v>
      </c>
      <c r="BT78" s="343">
        <f t="shared" si="90"/>
        <v>0</v>
      </c>
      <c r="BU78" s="343">
        <f t="shared" si="90"/>
        <v>-2.9958999999999998</v>
      </c>
      <c r="BV78" s="343" t="e">
        <f t="shared" si="90"/>
        <v>#VALUE!</v>
      </c>
      <c r="BW78" s="344">
        <f t="shared" si="90"/>
        <v>-2.9958999999999998</v>
      </c>
      <c r="BY78" s="344" t="e">
        <f t="shared" si="91"/>
        <v>#VALUE!</v>
      </c>
      <c r="CA78" s="263">
        <f>'[1]FC2+10'!AA77</f>
        <v>0</v>
      </c>
      <c r="CC78" s="344">
        <f t="shared" si="92"/>
        <v>0</v>
      </c>
      <c r="CE78" s="214">
        <v>0</v>
      </c>
      <c r="CF78" s="214">
        <v>0</v>
      </c>
      <c r="CG78" s="214">
        <v>0</v>
      </c>
      <c r="CH78" s="266">
        <f>SUM(CE78:CG78)</f>
        <v>0</v>
      </c>
      <c r="CI78" s="343">
        <f t="shared" si="84"/>
        <v>0</v>
      </c>
      <c r="CJ78" s="353">
        <f t="shared" si="84"/>
        <v>0</v>
      </c>
      <c r="CK78" s="343">
        <f t="shared" si="84"/>
        <v>0</v>
      </c>
      <c r="CL78" s="354">
        <f t="shared" si="84"/>
        <v>0</v>
      </c>
      <c r="CM78" s="266">
        <v>0</v>
      </c>
      <c r="CN78" s="266">
        <f t="shared" si="93"/>
        <v>0</v>
      </c>
    </row>
    <row r="79" spans="1:92">
      <c r="A79" s="338"/>
      <c r="B79" s="338" t="s">
        <v>72</v>
      </c>
      <c r="C79" s="338"/>
      <c r="D79" s="242" t="s">
        <v>60</v>
      </c>
      <c r="E79" s="351"/>
      <c r="F79" s="350"/>
      <c r="G79" s="350"/>
      <c r="H79" s="350"/>
      <c r="I79" s="213"/>
      <c r="K79" s="214"/>
      <c r="L79" s="214"/>
      <c r="M79" s="214"/>
      <c r="N79" s="271"/>
      <c r="O79" s="343"/>
      <c r="P79" s="343"/>
      <c r="Q79" s="343"/>
      <c r="R79" s="272"/>
      <c r="T79" s="214"/>
      <c r="U79" s="214"/>
      <c r="V79" s="214"/>
      <c r="W79" s="263">
        <f t="shared" si="72"/>
        <v>0</v>
      </c>
      <c r="X79" s="343">
        <f t="shared" ref="X79:Z79" si="94">IFERROR(F79-T79,0)</f>
        <v>0</v>
      </c>
      <c r="Y79" s="343">
        <f t="shared" si="94"/>
        <v>0</v>
      </c>
      <c r="Z79" s="343">
        <f t="shared" si="94"/>
        <v>0</v>
      </c>
      <c r="AA79" s="352">
        <f t="shared" si="74"/>
        <v>0</v>
      </c>
      <c r="AC79" s="214"/>
      <c r="AD79" s="214"/>
      <c r="AE79" s="214" t="str">
        <f>IF([1]OL!U$3=1,[1]OL!U78,"")</f>
        <v/>
      </c>
      <c r="AF79" s="336"/>
      <c r="AG79" s="343"/>
      <c r="AH79" s="343"/>
      <c r="AI79" s="343"/>
      <c r="AJ79" s="344"/>
      <c r="AL79" s="214"/>
      <c r="AM79" s="214"/>
      <c r="AN79" s="214"/>
      <c r="AO79" s="345">
        <f>SUM(AL79:AN79)</f>
        <v>0</v>
      </c>
      <c r="AP79" s="343">
        <f t="shared" ref="AP79:AS79" si="95">IFERROR(F79-AL79,0)</f>
        <v>0</v>
      </c>
      <c r="AQ79" s="343">
        <f t="shared" si="95"/>
        <v>0</v>
      </c>
      <c r="AR79" s="343">
        <f t="shared" si="95"/>
        <v>0</v>
      </c>
      <c r="AS79" s="346">
        <f t="shared" si="95"/>
        <v>0</v>
      </c>
      <c r="AU79" s="214">
        <f>[1]Act!L78</f>
        <v>0</v>
      </c>
      <c r="AV79" s="347">
        <f t="shared" si="85"/>
        <v>0</v>
      </c>
      <c r="AX79" s="214"/>
      <c r="AY79" s="214"/>
      <c r="AZ79" s="214"/>
      <c r="BA79" s="263"/>
      <c r="BB79" s="343"/>
      <c r="BC79" s="353"/>
      <c r="BD79" s="343"/>
      <c r="BE79" s="352"/>
      <c r="BG79" s="214"/>
      <c r="BH79" s="214"/>
      <c r="BI79" s="214"/>
      <c r="BJ79" s="336"/>
      <c r="BK79" s="343"/>
      <c r="BL79" s="343"/>
      <c r="BM79" s="343"/>
      <c r="BN79" s="344"/>
      <c r="BP79" s="214"/>
      <c r="BQ79" s="214"/>
      <c r="BR79" s="214"/>
      <c r="BS79" s="336"/>
      <c r="BT79" s="343"/>
      <c r="BU79" s="343"/>
      <c r="BV79" s="343"/>
      <c r="BW79" s="344"/>
      <c r="BY79" s="344"/>
      <c r="CA79" s="263"/>
      <c r="CC79" s="344">
        <f t="shared" si="92"/>
        <v>0</v>
      </c>
      <c r="CE79" s="214"/>
      <c r="CF79" s="214"/>
      <c r="CG79" s="214"/>
      <c r="CH79" s="266"/>
      <c r="CI79" s="343"/>
      <c r="CJ79" s="353"/>
      <c r="CK79" s="343"/>
      <c r="CL79" s="354"/>
      <c r="CM79" s="266"/>
      <c r="CN79" s="266">
        <f t="shared" si="93"/>
        <v>0</v>
      </c>
    </row>
    <row r="80" spans="1:92">
      <c r="A80" s="338"/>
      <c r="B80" s="338"/>
      <c r="C80" s="338"/>
      <c r="D80" s="338"/>
      <c r="E80" s="338"/>
      <c r="BP80" s="73"/>
      <c r="BQ80" s="73"/>
      <c r="CM80" s="7"/>
    </row>
    <row r="81" spans="1:92">
      <c r="A81" s="338"/>
      <c r="B81" s="338"/>
      <c r="C81" s="338"/>
      <c r="D81" s="338"/>
      <c r="E81" s="338" t="s">
        <v>73</v>
      </c>
      <c r="F81" s="356">
        <f>IFERROR(F47-SUM(F63:F78)-F55,0)</f>
        <v>-5.6843418860808015E-14</v>
      </c>
      <c r="G81" s="356">
        <f>IFERROR(G47-SUM(G63:G78)-G55,0)</f>
        <v>1.2789769243681803E-13</v>
      </c>
      <c r="H81" s="356">
        <f>IFERROR(H47-SUM(H63:H78)-H55,0)</f>
        <v>0</v>
      </c>
      <c r="I81" s="356">
        <f>IFERROR(I47-SUM(I63:I78)-I55,0)</f>
        <v>7.815970093361102E-14</v>
      </c>
      <c r="J81" s="356">
        <f>IFERROR(J47-SUM(J63:J75)-J55,0)</f>
        <v>0</v>
      </c>
      <c r="K81" s="356">
        <f t="shared" ref="K81:R81" si="96">IFERROR(K47-SUM(K63:K78)-K55,0)</f>
        <v>2.2026824808563106E-13</v>
      </c>
      <c r="L81" s="356">
        <f t="shared" si="96"/>
        <v>-2.1316282072803006E-14</v>
      </c>
      <c r="M81" s="356">
        <f t="shared" si="96"/>
        <v>0</v>
      </c>
      <c r="N81" s="356">
        <f t="shared" si="96"/>
        <v>2.1316282072803006E-13</v>
      </c>
      <c r="O81" s="356">
        <f t="shared" si="96"/>
        <v>-2.8066438062523957E-13</v>
      </c>
      <c r="P81" s="356">
        <f t="shared" si="96"/>
        <v>1.3677947663381929E-13</v>
      </c>
      <c r="Q81" s="356">
        <f t="shared" si="96"/>
        <v>0</v>
      </c>
      <c r="R81" s="356">
        <f t="shared" si="96"/>
        <v>-1.4921397450962104E-13</v>
      </c>
      <c r="S81" s="1">
        <f>IFERROR(S47-SUM(S63:S75)-S55,0)</f>
        <v>0</v>
      </c>
      <c r="T81" s="356">
        <f>IFERROR(T47-SUM(T63:T79)-T55,0)</f>
        <v>0</v>
      </c>
      <c r="U81" s="356">
        <f t="shared" ref="U81:AA81" si="97">IFERROR(U47-SUM(U63:U79)-U55,0)</f>
        <v>0</v>
      </c>
      <c r="V81" s="356">
        <f t="shared" si="97"/>
        <v>0</v>
      </c>
      <c r="W81" s="356">
        <f t="shared" si="97"/>
        <v>0</v>
      </c>
      <c r="X81" s="356">
        <f t="shared" si="97"/>
        <v>77.375120234748039</v>
      </c>
      <c r="Y81" s="356">
        <f t="shared" si="97"/>
        <v>50.583769858141928</v>
      </c>
      <c r="Z81" s="356">
        <f t="shared" si="97"/>
        <v>0</v>
      </c>
      <c r="AA81" s="356">
        <f t="shared" si="97"/>
        <v>0</v>
      </c>
      <c r="AB81" s="1">
        <f t="shared" ref="AB81:AK81" si="98">IFERROR(AB47-SUM(AB63:AB75)-AB55,0)</f>
        <v>0</v>
      </c>
      <c r="AC81" s="356">
        <f t="shared" si="98"/>
        <v>0</v>
      </c>
      <c r="AD81" s="356">
        <f t="shared" si="98"/>
        <v>0</v>
      </c>
      <c r="AE81" s="356">
        <f t="shared" si="98"/>
        <v>0</v>
      </c>
      <c r="AF81" s="356">
        <f t="shared" si="98"/>
        <v>7.1054273576010019E-15</v>
      </c>
      <c r="AG81" s="356">
        <f t="shared" si="98"/>
        <v>-5.6843418860808015E-14</v>
      </c>
      <c r="AH81" s="356">
        <f t="shared" si="98"/>
        <v>1.2789769243681803E-13</v>
      </c>
      <c r="AI81" s="356">
        <f t="shared" si="98"/>
        <v>0</v>
      </c>
      <c r="AJ81" s="356">
        <f t="shared" si="98"/>
        <v>7.1054273576010019E-14</v>
      </c>
      <c r="AK81" s="1">
        <f t="shared" si="98"/>
        <v>0</v>
      </c>
      <c r="AL81" s="356">
        <f t="shared" ref="AL81:AS81" si="99">IFERROR(AL47-SUM(AL63:AL78)-AL55,0)</f>
        <v>1.2079226507921703E-13</v>
      </c>
      <c r="AM81" s="356">
        <f t="shared" si="99"/>
        <v>1.7053025658242404E-13</v>
      </c>
      <c r="AN81" s="356">
        <f t="shared" si="99"/>
        <v>0</v>
      </c>
      <c r="AO81" s="356">
        <f t="shared" si="99"/>
        <v>2.9842794901924208E-13</v>
      </c>
      <c r="AP81" s="356">
        <f t="shared" si="99"/>
        <v>-1.7053025658242404E-13</v>
      </c>
      <c r="AQ81" s="356">
        <f t="shared" si="99"/>
        <v>-4.2632564145606011E-14</v>
      </c>
      <c r="AR81" s="356">
        <f t="shared" si="99"/>
        <v>0</v>
      </c>
      <c r="AS81" s="356">
        <f t="shared" si="99"/>
        <v>-2.2737367544323206E-13</v>
      </c>
      <c r="AU81" s="356">
        <f t="shared" ref="AU81:CC81" si="100">IFERROR(AU47-SUM(AU63:AU78)-AU55,0)</f>
        <v>7.1054273576010019E-14</v>
      </c>
      <c r="AV81" s="356">
        <f>IFERROR(AV47-SUM(AV63:AV78)-AV55,0)</f>
        <v>0</v>
      </c>
      <c r="AW81" s="1">
        <f t="shared" si="100"/>
        <v>0</v>
      </c>
      <c r="AX81" s="356">
        <f t="shared" ref="AX81:BE81" si="101">IFERROR(AX47-SUM(AX63:AX77)-AX55,0)</f>
        <v>1.1368683772161603E-13</v>
      </c>
      <c r="AY81" s="356">
        <f t="shared" si="101"/>
        <v>-7.1054273576010019E-14</v>
      </c>
      <c r="AZ81" s="356">
        <f t="shared" si="101"/>
        <v>0</v>
      </c>
      <c r="BA81" s="356">
        <f t="shared" si="101"/>
        <v>3.5527136788005009E-14</v>
      </c>
      <c r="BB81" s="356">
        <f t="shared" si="101"/>
        <v>-1.758593271006248E-13</v>
      </c>
      <c r="BC81" s="356">
        <f t="shared" si="101"/>
        <v>2.007283228522283E-13</v>
      </c>
      <c r="BD81" s="356">
        <f t="shared" si="101"/>
        <v>0</v>
      </c>
      <c r="BE81" s="356">
        <f t="shared" si="101"/>
        <v>1.9539925233402755E-14</v>
      </c>
      <c r="BF81" s="1">
        <f t="shared" si="100"/>
        <v>0</v>
      </c>
      <c r="BG81" s="356">
        <f t="shared" si="100"/>
        <v>-5.6843418860808015E-14</v>
      </c>
      <c r="BH81" s="356">
        <f t="shared" si="100"/>
        <v>1.4210854715202004E-14</v>
      </c>
      <c r="BI81" s="356">
        <f t="shared" si="100"/>
        <v>0</v>
      </c>
      <c r="BJ81" s="356">
        <f t="shared" si="100"/>
        <v>-4.2632564145606011E-14</v>
      </c>
      <c r="BK81" s="356">
        <f t="shared" si="100"/>
        <v>-5.6843418860808015E-14</v>
      </c>
      <c r="BL81" s="356">
        <f t="shared" si="100"/>
        <v>1.2789769243681803E-13</v>
      </c>
      <c r="BM81" s="356">
        <f t="shared" si="100"/>
        <v>12.259656421026904</v>
      </c>
      <c r="BN81" s="356">
        <f t="shared" si="100"/>
        <v>8.5265128291212022E-14</v>
      </c>
      <c r="BP81" s="356">
        <f t="shared" si="100"/>
        <v>74.128713199996582</v>
      </c>
      <c r="BQ81" s="356">
        <f t="shared" si="100"/>
        <v>41.409801400003637</v>
      </c>
      <c r="BR81" s="356">
        <f t="shared" si="100"/>
        <v>0</v>
      </c>
      <c r="BS81" s="356">
        <f t="shared" si="100"/>
        <v>0</v>
      </c>
      <c r="BT81" s="356">
        <f t="shared" si="100"/>
        <v>74.128713199996582</v>
      </c>
      <c r="BU81" s="356">
        <f t="shared" si="100"/>
        <v>41.40980140000363</v>
      </c>
      <c r="BV81" s="356">
        <f t="shared" si="100"/>
        <v>0</v>
      </c>
      <c r="BW81" s="356">
        <f t="shared" si="100"/>
        <v>0</v>
      </c>
      <c r="BY81" s="356">
        <f t="shared" si="100"/>
        <v>0</v>
      </c>
      <c r="CA81" s="356">
        <f t="shared" si="100"/>
        <v>0</v>
      </c>
      <c r="CC81" s="356">
        <f t="shared" si="100"/>
        <v>0</v>
      </c>
      <c r="CE81" s="356">
        <f t="shared" ref="CE81:CN81" si="102">IFERROR(CE47-SUM(CE63:CE77)-CE55,0)</f>
        <v>2.8421709430404007E-14</v>
      </c>
      <c r="CF81" s="356">
        <f t="shared" si="102"/>
        <v>1.1368683772161603E-13</v>
      </c>
      <c r="CG81" s="356">
        <f t="shared" si="102"/>
        <v>0</v>
      </c>
      <c r="CH81" s="356">
        <f t="shared" si="102"/>
        <v>1.5631940186722204E-13</v>
      </c>
      <c r="CI81" s="356">
        <f t="shared" si="102"/>
        <v>-8.1712414612411521E-14</v>
      </c>
      <c r="CJ81" s="356">
        <f t="shared" si="102"/>
        <v>1.4210854715202004E-14</v>
      </c>
      <c r="CK81" s="356">
        <f t="shared" si="102"/>
        <v>0</v>
      </c>
      <c r="CL81" s="356">
        <f t="shared" si="102"/>
        <v>-7.815970093361102E-14</v>
      </c>
      <c r="CM81" s="356">
        <f t="shared" si="102"/>
        <v>2.9842794901924208E-13</v>
      </c>
      <c r="CN81" s="356">
        <f t="shared" si="102"/>
        <v>-1.9895196601282805E-13</v>
      </c>
    </row>
    <row r="82" spans="1:92">
      <c r="A82" s="338"/>
      <c r="B82" s="338"/>
      <c r="C82" s="338"/>
      <c r="D82" s="338"/>
      <c r="E82" s="338" t="s">
        <v>74</v>
      </c>
      <c r="F82" s="356">
        <f>IFERROR(F27-SUM(F63:F64,F66:F71,F73),0)</f>
        <v>107.76375566499685</v>
      </c>
      <c r="G82" s="356">
        <f t="shared" ref="G82:BR82" si="103">IFERROR(G27-SUM(G63:G64,G66:G71,G73),0)</f>
        <v>122.68573360100298</v>
      </c>
      <c r="H82" s="356">
        <f>IFERROR(H27-SUM(H63:H64,H66:H71,H73),0)</f>
        <v>0</v>
      </c>
      <c r="I82" s="356">
        <f t="shared" si="103"/>
        <v>230.44948926599983</v>
      </c>
      <c r="J82" s="356">
        <f t="shared" si="103"/>
        <v>0</v>
      </c>
      <c r="K82" s="356">
        <f t="shared" si="103"/>
        <v>137.15283775328638</v>
      </c>
      <c r="L82" s="356">
        <f t="shared" si="103"/>
        <v>137.25452571909568</v>
      </c>
      <c r="M82" s="356">
        <f t="shared" si="103"/>
        <v>0</v>
      </c>
      <c r="N82" s="356">
        <f t="shared" si="103"/>
        <v>274.40736347238203</v>
      </c>
      <c r="O82" s="356">
        <f t="shared" si="103"/>
        <v>-29.389082088289516</v>
      </c>
      <c r="P82" s="356">
        <f t="shared" si="103"/>
        <v>-14.56879211809272</v>
      </c>
      <c r="Q82" s="356">
        <f t="shared" si="103"/>
        <v>0</v>
      </c>
      <c r="R82" s="356">
        <f t="shared" si="103"/>
        <v>-43.957874206382243</v>
      </c>
      <c r="S82" s="1">
        <f t="shared" si="103"/>
        <v>0</v>
      </c>
      <c r="T82" s="356">
        <f>IFERROR(T27-SUM(T63:T64,T66:T71,T73,T79),0)</f>
        <v>0</v>
      </c>
      <c r="U82" s="356">
        <f t="shared" ref="U82:AA82" si="104">IFERROR(U27-SUM(U63:U64,U66:U71,U73,U79),0)</f>
        <v>0</v>
      </c>
      <c r="V82" s="356">
        <f t="shared" si="104"/>
        <v>0</v>
      </c>
      <c r="W82" s="356">
        <f t="shared" si="104"/>
        <v>0</v>
      </c>
      <c r="X82" s="356">
        <f t="shared" si="104"/>
        <v>5.5864564230583049</v>
      </c>
      <c r="Y82" s="356">
        <f t="shared" si="104"/>
        <v>7.8149295621226065</v>
      </c>
      <c r="Z82" s="356">
        <f t="shared" si="104"/>
        <v>0</v>
      </c>
      <c r="AA82" s="356">
        <f t="shared" si="104"/>
        <v>0</v>
      </c>
      <c r="AB82" s="1">
        <f t="shared" si="103"/>
        <v>0</v>
      </c>
      <c r="AC82" s="356">
        <f t="shared" si="103"/>
        <v>107.76375566499685</v>
      </c>
      <c r="AD82" s="356">
        <f t="shared" si="103"/>
        <v>104.28659266866583</v>
      </c>
      <c r="AE82" s="356">
        <f t="shared" si="103"/>
        <v>0</v>
      </c>
      <c r="AF82" s="356">
        <f t="shared" si="103"/>
        <v>212.05034833366267</v>
      </c>
      <c r="AG82" s="356">
        <f t="shared" si="103"/>
        <v>0</v>
      </c>
      <c r="AH82" s="356">
        <f t="shared" si="103"/>
        <v>18.399140932337151</v>
      </c>
      <c r="AI82" s="356">
        <f t="shared" si="103"/>
        <v>0</v>
      </c>
      <c r="AJ82" s="356">
        <f t="shared" si="103"/>
        <v>18.399140932337147</v>
      </c>
      <c r="AK82" s="1">
        <f t="shared" si="103"/>
        <v>0</v>
      </c>
      <c r="AL82" s="356">
        <f t="shared" si="103"/>
        <v>89.43484876900051</v>
      </c>
      <c r="AM82" s="356">
        <f t="shared" si="103"/>
        <v>107.31444796100128</v>
      </c>
      <c r="AN82" s="356">
        <f t="shared" si="103"/>
        <v>0</v>
      </c>
      <c r="AO82" s="356">
        <f t="shared" si="103"/>
        <v>196.74929673000179</v>
      </c>
      <c r="AP82" s="356">
        <f>IFERROR(AP27-SUM(AP63:AP64,AP66:AP71,AP73,AP76),0)</f>
        <v>18.32890689599634</v>
      </c>
      <c r="AQ82" s="356">
        <f>IFERROR(AQ27-SUM(AQ63:AQ64,AQ66:AQ71,AQ73,AQ76),0)</f>
        <v>15.371285640001705</v>
      </c>
      <c r="AR82" s="356">
        <f>IFERROR(AR27-SUM(AR63:AR64,AR66:AR71,AR73,AR76),0)</f>
        <v>0</v>
      </c>
      <c r="AS82" s="356">
        <f>IFERROR(AS27-SUM(AS63:AS64,AS66:AS71,AS73,AS76),0)</f>
        <v>33.700192535998042</v>
      </c>
      <c r="AT82" s="1">
        <f t="shared" si="103"/>
        <v>0</v>
      </c>
      <c r="AU82" s="356">
        <f>IFERROR(AU27-SUM(AU63:AU64,AU66:AU71,AU73),0)</f>
        <v>83.804546847421591</v>
      </c>
      <c r="AV82" s="356">
        <f>IFERROR(AV27-SUM(AV63:AV64,AV66:AV71,AV73),0)</f>
        <v>0</v>
      </c>
      <c r="AW82" s="1">
        <f t="shared" si="103"/>
        <v>0</v>
      </c>
      <c r="AX82" s="356">
        <f t="shared" si="103"/>
        <v>114.27974241265981</v>
      </c>
      <c r="AY82" s="356">
        <f t="shared" si="103"/>
        <v>109.82730433815055</v>
      </c>
      <c r="AZ82" s="356">
        <f t="shared" si="103"/>
        <v>0</v>
      </c>
      <c r="BA82" s="356">
        <f t="shared" si="103"/>
        <v>224.10704675081035</v>
      </c>
      <c r="BB82" s="356">
        <f t="shared" si="103"/>
        <v>-6.5159867476629643</v>
      </c>
      <c r="BC82" s="356">
        <f t="shared" si="103"/>
        <v>12.858429262852429</v>
      </c>
      <c r="BD82" s="356">
        <f t="shared" si="103"/>
        <v>0</v>
      </c>
      <c r="BE82" s="356">
        <f t="shared" si="103"/>
        <v>6.3424425151894628</v>
      </c>
      <c r="BF82" s="1">
        <f t="shared" si="103"/>
        <v>0</v>
      </c>
      <c r="BG82" s="356">
        <f t="shared" si="103"/>
        <v>107.76375566499685</v>
      </c>
      <c r="BH82" s="356">
        <f t="shared" si="103"/>
        <v>114.58163643167214</v>
      </c>
      <c r="BI82" s="356">
        <f t="shared" si="103"/>
        <v>50.217561857958827</v>
      </c>
      <c r="BJ82" s="356">
        <f t="shared" si="103"/>
        <v>272.5629539546278</v>
      </c>
      <c r="BK82" s="356">
        <f t="shared" si="103"/>
        <v>0</v>
      </c>
      <c r="BL82" s="356">
        <f t="shared" si="103"/>
        <v>18.399140932337151</v>
      </c>
      <c r="BM82" s="356">
        <f t="shared" si="103"/>
        <v>141.55996610678449</v>
      </c>
      <c r="BN82" s="356">
        <f t="shared" si="103"/>
        <v>-42.113464688628</v>
      </c>
      <c r="BO82" s="1">
        <f t="shared" si="103"/>
        <v>0</v>
      </c>
      <c r="BP82" s="356">
        <f t="shared" si="103"/>
        <v>107.76375566499685</v>
      </c>
      <c r="BQ82" s="356">
        <f t="shared" si="103"/>
        <v>122.68573360100298</v>
      </c>
      <c r="BR82" s="356">
        <f t="shared" si="103"/>
        <v>0</v>
      </c>
      <c r="BS82" s="356">
        <f t="shared" ref="BS82:CC82" si="105">IFERROR(BS27-SUM(BS63:BS64,BS66:BS71,BS73),0)</f>
        <v>0</v>
      </c>
      <c r="BT82" s="356">
        <f t="shared" si="105"/>
        <v>0</v>
      </c>
      <c r="BU82" s="356">
        <f t="shared" si="105"/>
        <v>18.399140932337151</v>
      </c>
      <c r="BV82" s="356">
        <f t="shared" si="105"/>
        <v>0</v>
      </c>
      <c r="BW82" s="356">
        <f t="shared" si="105"/>
        <v>0</v>
      </c>
      <c r="BX82" s="1">
        <f t="shared" si="105"/>
        <v>0</v>
      </c>
      <c r="BY82" s="356">
        <f t="shared" si="105"/>
        <v>0</v>
      </c>
      <c r="BZ82" s="1">
        <f t="shared" si="105"/>
        <v>0</v>
      </c>
      <c r="CA82" s="356">
        <f t="shared" si="105"/>
        <v>0</v>
      </c>
      <c r="CB82" s="1">
        <f t="shared" si="105"/>
        <v>0</v>
      </c>
      <c r="CC82" s="356">
        <f t="shared" si="105"/>
        <v>0</v>
      </c>
      <c r="CE82" s="356">
        <f t="shared" ref="CE82:CN82" si="106">IFERROR(CE27-SUM(CE63:CE64,CE66:CE71,CE73),0)</f>
        <v>133.26798387327273</v>
      </c>
      <c r="CF82" s="356">
        <f t="shared" si="106"/>
        <v>139.04702208818216</v>
      </c>
      <c r="CG82" s="356">
        <f t="shared" si="106"/>
        <v>0</v>
      </c>
      <c r="CH82" s="356">
        <f t="shared" si="106"/>
        <v>272.31500596145486</v>
      </c>
      <c r="CI82" s="356">
        <f t="shared" si="106"/>
        <v>-25.504228208275869</v>
      </c>
      <c r="CJ82" s="356">
        <f t="shared" si="106"/>
        <v>-16.361288487179174</v>
      </c>
      <c r="CK82" s="356">
        <f t="shared" si="106"/>
        <v>0</v>
      </c>
      <c r="CL82" s="356">
        <f t="shared" si="106"/>
        <v>-41.865516695455057</v>
      </c>
      <c r="CM82" s="356">
        <f t="shared" si="106"/>
        <v>454.80971210651239</v>
      </c>
      <c r="CN82" s="356">
        <f t="shared" si="106"/>
        <v>-224.36022284051256</v>
      </c>
    </row>
    <row r="83" spans="1:92">
      <c r="A83" s="338"/>
      <c r="B83" s="338"/>
      <c r="C83" s="338"/>
      <c r="D83" s="338"/>
      <c r="E83" s="338" t="s">
        <v>75</v>
      </c>
      <c r="F83" s="356">
        <f>IFERROR(F46-F65-F72-F74-F75-F76-F77-F78,0)</f>
        <v>-122.70532976500002</v>
      </c>
      <c r="G83" s="356">
        <f>IFERROR(G46-G65-G72-G74-G75-G76-G77-G78,0)</f>
        <v>-118.10701440100003</v>
      </c>
      <c r="H83" s="356">
        <f>IFERROR(H46-H65-H72-H74-H75-H76-H77-H78,0)</f>
        <v>0</v>
      </c>
      <c r="I83" s="356">
        <f>IFERROR(I46-I65-I72-I74-I75-I76-I77-I78,0)</f>
        <v>-240.812344166</v>
      </c>
      <c r="J83" s="356">
        <f t="shared" ref="J83:BU83" si="107">IFERROR(J46-J65-J72-J74-J75-J76-J77-J78,0)</f>
        <v>0</v>
      </c>
      <c r="K83" s="356">
        <f t="shared" si="107"/>
        <v>-138.93536182289623</v>
      </c>
      <c r="L83" s="356">
        <f t="shared" si="107"/>
        <v>-130.79090127498978</v>
      </c>
      <c r="M83" s="356">
        <f t="shared" si="107"/>
        <v>0</v>
      </c>
      <c r="N83" s="356">
        <f t="shared" si="107"/>
        <v>-269.72626309788598</v>
      </c>
      <c r="O83" s="356">
        <f t="shared" si="107"/>
        <v>16.23003205789621</v>
      </c>
      <c r="P83" s="356">
        <f t="shared" si="107"/>
        <v>12.683886873989747</v>
      </c>
      <c r="Q83" s="356">
        <f t="shared" si="107"/>
        <v>0</v>
      </c>
      <c r="R83" s="356">
        <f t="shared" si="107"/>
        <v>28.913918931885974</v>
      </c>
      <c r="S83" s="1">
        <f t="shared" si="107"/>
        <v>0</v>
      </c>
      <c r="T83" s="356">
        <f t="shared" si="107"/>
        <v>-117.65066430440453</v>
      </c>
      <c r="U83" s="356">
        <f t="shared" si="107"/>
        <v>-112.5499704018652</v>
      </c>
      <c r="V83" s="356">
        <f t="shared" si="107"/>
        <v>0</v>
      </c>
      <c r="W83" s="356">
        <f t="shared" si="107"/>
        <v>-230.20063470626971</v>
      </c>
      <c r="X83" s="356">
        <f t="shared" si="107"/>
        <v>-5.0546654605954853</v>
      </c>
      <c r="Y83" s="356">
        <f t="shared" si="107"/>
        <v>-5.5570439991348177</v>
      </c>
      <c r="Z83" s="356">
        <f t="shared" si="107"/>
        <v>0</v>
      </c>
      <c r="AA83" s="356">
        <f t="shared" si="107"/>
        <v>-10.611709459730289</v>
      </c>
      <c r="AB83" s="1">
        <f t="shared" si="107"/>
        <v>0</v>
      </c>
      <c r="AC83" s="356">
        <f t="shared" si="107"/>
        <v>-122.70532976500002</v>
      </c>
      <c r="AD83" s="356">
        <f t="shared" si="107"/>
        <v>-141.22436719192658</v>
      </c>
      <c r="AE83" s="356">
        <f t="shared" si="107"/>
        <v>0</v>
      </c>
      <c r="AF83" s="356">
        <f t="shared" si="107"/>
        <v>-263.92969695692659</v>
      </c>
      <c r="AG83" s="356">
        <f t="shared" si="107"/>
        <v>0</v>
      </c>
      <c r="AH83" s="356">
        <f t="shared" si="107"/>
        <v>23.117352790926567</v>
      </c>
      <c r="AI83" s="356">
        <f t="shared" si="107"/>
        <v>0</v>
      </c>
      <c r="AJ83" s="356">
        <f t="shared" si="107"/>
        <v>23.117352790926596</v>
      </c>
      <c r="AK83" s="1">
        <f t="shared" si="107"/>
        <v>0</v>
      </c>
      <c r="AL83" s="356">
        <f t="shared" ref="AL83:AS83" si="108">IFERROR(AL46-AL65-AL72-AL74-AL75-AL77-AL78,0)</f>
        <v>-138.14011036900004</v>
      </c>
      <c r="AM83" s="356">
        <f t="shared" si="108"/>
        <v>-135.01329376100006</v>
      </c>
      <c r="AN83" s="356">
        <f t="shared" si="108"/>
        <v>0</v>
      </c>
      <c r="AO83" s="356">
        <f t="shared" si="108"/>
        <v>-273.15340413000013</v>
      </c>
      <c r="AP83" s="356">
        <f t="shared" si="108"/>
        <v>15.434780604000021</v>
      </c>
      <c r="AQ83" s="356">
        <f t="shared" si="108"/>
        <v>16.906279360000024</v>
      </c>
      <c r="AR83" s="356">
        <f t="shared" si="108"/>
        <v>0</v>
      </c>
      <c r="AS83" s="356">
        <f t="shared" si="108"/>
        <v>32.341059964000074</v>
      </c>
      <c r="AU83" s="356">
        <f t="shared" si="107"/>
        <v>-111.51378384742002</v>
      </c>
      <c r="AV83" s="356">
        <f t="shared" si="107"/>
        <v>0</v>
      </c>
      <c r="AW83" s="1">
        <f t="shared" si="107"/>
        <v>0</v>
      </c>
      <c r="AX83" s="356">
        <f t="shared" si="107"/>
        <v>-117.25192276225857</v>
      </c>
      <c r="AY83" s="356">
        <f t="shared" si="107"/>
        <v>-116.19574289155497</v>
      </c>
      <c r="AZ83" s="356">
        <f t="shared" si="107"/>
        <v>0</v>
      </c>
      <c r="BA83" s="356">
        <f t="shared" si="107"/>
        <v>-233.44766565381357</v>
      </c>
      <c r="BB83" s="356">
        <f t="shared" si="107"/>
        <v>-5.4534070027414412</v>
      </c>
      <c r="BC83" s="356">
        <f t="shared" si="107"/>
        <v>-1.9112715094450385</v>
      </c>
      <c r="BD83" s="356">
        <f t="shared" si="107"/>
        <v>0</v>
      </c>
      <c r="BE83" s="356">
        <f t="shared" si="107"/>
        <v>-7.3646785121864511</v>
      </c>
      <c r="BF83" s="1">
        <f t="shared" si="107"/>
        <v>0</v>
      </c>
      <c r="BG83" s="356">
        <f t="shared" si="107"/>
        <v>-122.70532976500002</v>
      </c>
      <c r="BH83" s="356">
        <f t="shared" si="107"/>
        <v>-116.17076244056548</v>
      </c>
      <c r="BI83" s="356">
        <f t="shared" si="107"/>
        <v>-135.1031913946334</v>
      </c>
      <c r="BJ83" s="356">
        <f t="shared" si="107"/>
        <v>-373.97928360019887</v>
      </c>
      <c r="BK83" s="356">
        <f t="shared" si="107"/>
        <v>0</v>
      </c>
      <c r="BL83" s="356">
        <f t="shared" si="107"/>
        <v>23.117352790926567</v>
      </c>
      <c r="BM83" s="356">
        <f t="shared" si="107"/>
        <v>-129.30030968575758</v>
      </c>
      <c r="BN83" s="356">
        <f t="shared" si="107"/>
        <v>133.16693943419889</v>
      </c>
      <c r="BP83" s="356">
        <f t="shared" si="107"/>
        <v>-122.70532976500002</v>
      </c>
      <c r="BQ83" s="356">
        <f t="shared" si="107"/>
        <v>-115.11111440100002</v>
      </c>
      <c r="BR83" s="356">
        <f t="shared" si="107"/>
        <v>0</v>
      </c>
      <c r="BS83" s="356">
        <f t="shared" si="107"/>
        <v>0</v>
      </c>
      <c r="BT83" s="356">
        <f t="shared" si="107"/>
        <v>0</v>
      </c>
      <c r="BU83" s="356">
        <f t="shared" si="107"/>
        <v>26.113252790926566</v>
      </c>
      <c r="BV83" s="356">
        <f t="shared" ref="BV83:CA83" si="109">IFERROR(BV46-BV65-BV72-BV74-BV75-BV76-BV77-BV78,0)</f>
        <v>0</v>
      </c>
      <c r="BW83" s="356">
        <f t="shared" si="109"/>
        <v>0</v>
      </c>
      <c r="BY83" s="356">
        <f t="shared" si="109"/>
        <v>0</v>
      </c>
      <c r="CA83" s="356">
        <f t="shared" si="109"/>
        <v>-346.0916622089257</v>
      </c>
      <c r="CC83" s="356">
        <f>IFERROR(CC46-CC65-CC72-CC74-CC75-CC76-CC77-CC78,0)</f>
        <v>-105.27931804292568</v>
      </c>
      <c r="CE83" s="356">
        <f t="shared" ref="CE83:CN83" si="110">IFERROR(CE46-CE65-CE72-CE74-CE75-CE76-CE77-CE78,0)</f>
        <v>-120.83078446427787</v>
      </c>
      <c r="CF83" s="356">
        <f t="shared" si="110"/>
        <v>-118.33685224588629</v>
      </c>
      <c r="CG83" s="356">
        <f t="shared" si="110"/>
        <v>0</v>
      </c>
      <c r="CH83" s="356">
        <f t="shared" si="110"/>
        <v>-239.16763671016415</v>
      </c>
      <c r="CI83" s="356">
        <f t="shared" si="110"/>
        <v>-1.87454530072214</v>
      </c>
      <c r="CJ83" s="356">
        <f t="shared" si="110"/>
        <v>0.22983784488627079</v>
      </c>
      <c r="CK83" s="356">
        <f t="shared" si="110"/>
        <v>0</v>
      </c>
      <c r="CL83" s="356">
        <f t="shared" si="110"/>
        <v>-1.6447074558358548</v>
      </c>
      <c r="CM83" s="356">
        <f t="shared" si="110"/>
        <v>-353.67503744952307</v>
      </c>
      <c r="CN83" s="356">
        <f t="shared" si="110"/>
        <v>112.86269328352304</v>
      </c>
    </row>
    <row r="84" spans="1:92">
      <c r="E84" s="1" t="s">
        <v>76</v>
      </c>
      <c r="F84" s="357">
        <f>IFERROR(SUM(F82:F83)-F55,0)</f>
        <v>-6.3948846218409017E-14</v>
      </c>
      <c r="G84" s="357">
        <f>IFERROR(SUM(G82:G83)-G55,0)</f>
        <v>1.1368683772161603E-13</v>
      </c>
      <c r="H84" s="357">
        <f>IFERROR(SUM(H82:H83)-H55,0)</f>
        <v>0</v>
      </c>
      <c r="I84" s="357">
        <f>IFERROR(SUM(I82:I83)-I55,0)</f>
        <v>9.2370555648813024E-14</v>
      </c>
      <c r="J84" s="1">
        <f t="shared" ref="J84:BU84" si="111">IFERROR(SUM(J82:J83)-J55,0)</f>
        <v>0</v>
      </c>
      <c r="K84" s="357">
        <f t="shared" si="111"/>
        <v>2.2737367544323206E-13</v>
      </c>
      <c r="L84" s="357">
        <f t="shared" si="111"/>
        <v>-4.2632564145606011E-14</v>
      </c>
      <c r="M84" s="357">
        <f t="shared" si="111"/>
        <v>0</v>
      </c>
      <c r="N84" s="357">
        <f t="shared" si="111"/>
        <v>1.8474111129762605E-13</v>
      </c>
      <c r="O84" s="357">
        <f t="shared" si="111"/>
        <v>-2.8066438062523957E-13</v>
      </c>
      <c r="P84" s="357">
        <f t="shared" si="111"/>
        <v>1.3677947663381929E-13</v>
      </c>
      <c r="Q84" s="357">
        <f t="shared" si="111"/>
        <v>0</v>
      </c>
      <c r="R84" s="357">
        <f t="shared" si="111"/>
        <v>-1.3500311979441904E-13</v>
      </c>
      <c r="S84" s="1">
        <f t="shared" si="111"/>
        <v>0</v>
      </c>
      <c r="T84" s="357">
        <f t="shared" si="111"/>
        <v>-174.12860918677563</v>
      </c>
      <c r="U84" s="357">
        <f t="shared" ref="U84:AA84" si="112">IFERROR(SUM(U82:U83)-U55,0)</f>
        <v>-158.01792903793418</v>
      </c>
      <c r="V84" s="357">
        <f t="shared" si="112"/>
        <v>0</v>
      </c>
      <c r="W84" s="357">
        <f t="shared" si="112"/>
        <v>-332.14653822470979</v>
      </c>
      <c r="X84" s="357">
        <f t="shared" si="112"/>
        <v>71.951309944837021</v>
      </c>
      <c r="Y84" s="357">
        <f t="shared" si="112"/>
        <v>43.147124999053936</v>
      </c>
      <c r="Z84" s="357">
        <f t="shared" si="112"/>
        <v>0</v>
      </c>
      <c r="AA84" s="357">
        <f t="shared" si="112"/>
        <v>101.69704895871004</v>
      </c>
      <c r="AB84" s="1">
        <f t="shared" si="111"/>
        <v>0</v>
      </c>
      <c r="AC84" s="357">
        <f t="shared" si="111"/>
        <v>-7.1054273576010019E-15</v>
      </c>
      <c r="AD84" s="357">
        <f t="shared" si="111"/>
        <v>1.4210854715202004E-14</v>
      </c>
      <c r="AE84" s="357">
        <f t="shared" si="111"/>
        <v>0</v>
      </c>
      <c r="AF84" s="357">
        <f t="shared" si="111"/>
        <v>-7.1054273576010019E-15</v>
      </c>
      <c r="AG84" s="357">
        <f t="shared" si="111"/>
        <v>-5.6843418860808015E-14</v>
      </c>
      <c r="AH84" s="357">
        <f t="shared" si="111"/>
        <v>1.2789769243681803E-13</v>
      </c>
      <c r="AI84" s="357">
        <f t="shared" si="111"/>
        <v>0</v>
      </c>
      <c r="AJ84" s="357">
        <f t="shared" si="111"/>
        <v>9.2370555648813024E-14</v>
      </c>
      <c r="AK84" s="1">
        <f t="shared" si="111"/>
        <v>0</v>
      </c>
      <c r="AL84" s="357">
        <f t="shared" ref="AL84:AS84" si="113">IFERROR(SUM(AL82:AL83)-AL55,0)</f>
        <v>1.0658141036401503E-13</v>
      </c>
      <c r="AM84" s="357">
        <f t="shared" si="113"/>
        <v>1.5631940186722204E-13</v>
      </c>
      <c r="AN84" s="357">
        <f t="shared" si="113"/>
        <v>0</v>
      </c>
      <c r="AO84" s="357">
        <f t="shared" si="113"/>
        <v>2.2737367544323206E-13</v>
      </c>
      <c r="AP84" s="357">
        <f t="shared" si="113"/>
        <v>-1.7053025658242404E-13</v>
      </c>
      <c r="AQ84" s="357">
        <f t="shared" si="113"/>
        <v>-4.2632564145606011E-14</v>
      </c>
      <c r="AR84" s="357">
        <f t="shared" si="113"/>
        <v>0</v>
      </c>
      <c r="AS84" s="357">
        <f t="shared" si="113"/>
        <v>-1.9895196601282805E-13</v>
      </c>
      <c r="AU84" s="357">
        <f t="shared" si="111"/>
        <v>6.3948846218409017E-14</v>
      </c>
      <c r="AV84" s="357">
        <f t="shared" si="111"/>
        <v>0</v>
      </c>
      <c r="AW84" s="1">
        <f t="shared" si="111"/>
        <v>0</v>
      </c>
      <c r="AX84" s="357">
        <f t="shared" si="111"/>
        <v>1.1368683772161603E-13</v>
      </c>
      <c r="AY84" s="357">
        <f>IFERROR(SUM(AY82:AY83)-AY55,0)</f>
        <v>-6.3948846218409017E-14</v>
      </c>
      <c r="AZ84" s="357">
        <f t="shared" si="111"/>
        <v>0</v>
      </c>
      <c r="BA84" s="357">
        <f t="shared" si="111"/>
        <v>7.1054273576010019E-15</v>
      </c>
      <c r="BB84" s="357">
        <f t="shared" si="111"/>
        <v>-1.758593271006248E-13</v>
      </c>
      <c r="BC84" s="357">
        <f t="shared" si="111"/>
        <v>2.007283228522283E-13</v>
      </c>
      <c r="BD84" s="357">
        <f t="shared" si="111"/>
        <v>0</v>
      </c>
      <c r="BE84" s="357">
        <f t="shared" si="111"/>
        <v>5.1514348342607263E-14</v>
      </c>
      <c r="BF84" s="1">
        <f t="shared" si="111"/>
        <v>0</v>
      </c>
      <c r="BG84" s="357">
        <f t="shared" si="111"/>
        <v>-6.3948846218409017E-14</v>
      </c>
      <c r="BH84" s="357">
        <f t="shared" si="111"/>
        <v>2.1316282072803006E-14</v>
      </c>
      <c r="BI84" s="357">
        <f t="shared" si="111"/>
        <v>0</v>
      </c>
      <c r="BJ84" s="357">
        <f t="shared" si="111"/>
        <v>-2.8421709430404007E-14</v>
      </c>
      <c r="BK84" s="357">
        <f t="shared" si="111"/>
        <v>-5.6843418860808015E-14</v>
      </c>
      <c r="BL84" s="357">
        <f t="shared" si="111"/>
        <v>1.2789769243681803E-13</v>
      </c>
      <c r="BM84" s="357">
        <f t="shared" si="111"/>
        <v>12.259656421026904</v>
      </c>
      <c r="BN84" s="357">
        <f t="shared" si="111"/>
        <v>1.1368683772161603E-13</v>
      </c>
      <c r="BP84" s="357">
        <f t="shared" si="111"/>
        <v>74.128713199996568</v>
      </c>
      <c r="BQ84" s="357">
        <f t="shared" si="111"/>
        <v>41.40980140000363</v>
      </c>
      <c r="BR84" s="357">
        <f t="shared" si="111"/>
        <v>69.825243156095723</v>
      </c>
      <c r="BS84" s="357">
        <f t="shared" si="111"/>
        <v>192.73071265609613</v>
      </c>
      <c r="BT84" s="357">
        <f t="shared" si="111"/>
        <v>74.128713199996582</v>
      </c>
      <c r="BU84" s="357">
        <f t="shared" si="111"/>
        <v>41.40980140000363</v>
      </c>
      <c r="BV84" s="357">
        <f t="shared" ref="BV84:CC84" si="114">IFERROR(SUM(BV82:BV83)-BV55,0)</f>
        <v>0</v>
      </c>
      <c r="BW84" s="357">
        <f t="shared" si="114"/>
        <v>140.85136403283221</v>
      </c>
      <c r="BY84" s="357">
        <f t="shared" si="114"/>
        <v>0</v>
      </c>
      <c r="CA84" s="357">
        <f t="shared" si="114"/>
        <v>-310.10699027781726</v>
      </c>
      <c r="CC84" s="357">
        <f t="shared" si="114"/>
        <v>-79.657501011817502</v>
      </c>
      <c r="CE84" s="357">
        <f t="shared" ref="CE84" si="115">IFERROR(SUM(CE82:CE83)-CE55,0)</f>
        <v>2.8421709430404007E-14</v>
      </c>
      <c r="CF84" s="357">
        <f>IFERROR(SUM(CF82:CF83)-CF55,0)</f>
        <v>1.1368683772161603E-13</v>
      </c>
      <c r="CG84" s="357">
        <f t="shared" ref="CG84:CL84" si="116">IFERROR(SUM(CG82:CG83)-CG55,0)</f>
        <v>0</v>
      </c>
      <c r="CH84" s="357">
        <f t="shared" si="116"/>
        <v>1.2789769243681803E-13</v>
      </c>
      <c r="CI84" s="357">
        <f t="shared" si="116"/>
        <v>-7.815970093361102E-14</v>
      </c>
      <c r="CJ84" s="357">
        <f t="shared" si="116"/>
        <v>1.4210854715202004E-14</v>
      </c>
      <c r="CK84" s="357">
        <f t="shared" si="116"/>
        <v>0</v>
      </c>
      <c r="CL84" s="357">
        <f t="shared" si="116"/>
        <v>-6.3948846218409017E-14</v>
      </c>
      <c r="CM84" s="357">
        <f t="shared" ref="CM84:CN84" si="117">IFERROR(SUM(CM82:CM83)-CM55,0)</f>
        <v>2.9842794901924208E-13</v>
      </c>
      <c r="CN84" s="357">
        <f t="shared" si="117"/>
        <v>-2.2737367544323206E-13</v>
      </c>
    </row>
    <row r="86" spans="1:92">
      <c r="BD86" s="5"/>
      <c r="CK86" s="5"/>
    </row>
    <row r="87" spans="1:92">
      <c r="BY87" s="73" t="e">
        <f>BY55-SUM(BY82:BY83)</f>
        <v>#VALUE!</v>
      </c>
      <c r="CC87" s="73">
        <f>CC55-SUM(CC82:CC83)</f>
        <v>79.657501011817502</v>
      </c>
    </row>
  </sheetData>
  <mergeCells count="17">
    <mergeCell ref="BG5:BJ5"/>
    <mergeCell ref="F5:I5"/>
    <mergeCell ref="K5:N5"/>
    <mergeCell ref="O5:R5"/>
    <mergeCell ref="T5:W5"/>
    <mergeCell ref="X5:AA5"/>
    <mergeCell ref="AC5:AF5"/>
    <mergeCell ref="AG5:AJ5"/>
    <mergeCell ref="AL5:AO5"/>
    <mergeCell ref="AP5:AS5"/>
    <mergeCell ref="AX5:BA5"/>
    <mergeCell ref="BB5:BE5"/>
    <mergeCell ref="BK5:BN5"/>
    <mergeCell ref="BP5:BS5"/>
    <mergeCell ref="BT5:BW5"/>
    <mergeCell ref="CE5:CH5"/>
    <mergeCell ref="CI5:C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Kshitiz, Akhauri  (NissanContractor)</dc:creator>
  <cp:lastModifiedBy>Kshitiz, Akhauri  (NissanContractor)</cp:lastModifiedBy>
  <dcterms:created xsi:type="dcterms:W3CDTF">2026-06-10T05:26:26Z</dcterms:created>
  <dcterms:modified xsi:type="dcterms:W3CDTF">2026-06-10T05:28:47Z</dcterms:modified>
</cp:coreProperties>
</file>